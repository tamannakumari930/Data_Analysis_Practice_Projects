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C:\Users\Tamanna kumari\OneDrive\Desktop\data_analysis practise project\1. sales analysis project\"/>
    </mc:Choice>
  </mc:AlternateContent>
  <xr:revisionPtr revIDLastSave="0" documentId="13_ncr:1_{AC764798-7BAA-4102-97C1-CADA33A190F5}" xr6:coauthVersionLast="47" xr6:coauthVersionMax="47" xr10:uidLastSave="{00000000-0000-0000-0000-000000000000}"/>
  <bookViews>
    <workbookView xWindow="-110" yWindow="-110" windowWidth="19420" windowHeight="10300" tabRatio="876" firstSheet="4" activeTab="8" xr2:uid="{00000000-000D-0000-FFFF-FFFF00000000}"/>
  </bookViews>
  <sheets>
    <sheet name="FIRM WISE" sheetId="2" state="hidden" r:id="rId1"/>
    <sheet name="MONTH WISE" sheetId="4" state="hidden" r:id="rId2"/>
    <sheet name="TAX WISE" sheetId="5" state="hidden" r:id="rId3"/>
    <sheet name="PRODUCT WISE" sheetId="6" state="hidden" r:id="rId4"/>
    <sheet name="RAW_DATA" sheetId="1" r:id="rId5"/>
    <sheet name="KPI_VALUE " sheetId="16" r:id="rId6"/>
    <sheet name="PIVOT_TABLE" sheetId="7" r:id="rId7"/>
    <sheet name="INSIGHTS" sheetId="18" r:id="rId8"/>
    <sheet name="DASHBOARD" sheetId="15" r:id="rId9"/>
  </sheets>
  <definedNames>
    <definedName name="Slicer_Description_of_Goods">#N/A</definedName>
    <definedName name="Slicer_Firm_Name">#N/A</definedName>
    <definedName name="Slicer_Months__Date">#N/A</definedName>
    <definedName name="Slicer_State">#N/A</definedName>
    <definedName name="Slicer_Tax_Rate">#N/A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2" i="16" l="1"/>
  <c r="G10" i="16"/>
  <c r="G8" i="16"/>
  <c r="G6" i="16"/>
  <c r="G4" i="16"/>
</calcChain>
</file>

<file path=xl/sharedStrings.xml><?xml version="1.0" encoding="utf-8"?>
<sst xmlns="http://schemas.openxmlformats.org/spreadsheetml/2006/main" count="224" uniqueCount="55">
  <si>
    <t xml:space="preserve">Firm Name </t>
  </si>
  <si>
    <t>State</t>
  </si>
  <si>
    <t>Invoice No.</t>
  </si>
  <si>
    <t>Date</t>
  </si>
  <si>
    <t>Tax Rate</t>
  </si>
  <si>
    <t>Description of Goods</t>
  </si>
  <si>
    <t>Qty</t>
  </si>
  <si>
    <t>Unit</t>
  </si>
  <si>
    <t>Rate</t>
  </si>
  <si>
    <t>Taxable Value</t>
  </si>
  <si>
    <t>IGST</t>
  </si>
  <si>
    <t>CGST</t>
  </si>
  <si>
    <t>SGST</t>
  </si>
  <si>
    <t>CESS</t>
  </si>
  <si>
    <t>TOTAL</t>
  </si>
  <si>
    <t>INVOICE VALUE</t>
  </si>
  <si>
    <t>JK Enterprise</t>
  </si>
  <si>
    <t>Local</t>
  </si>
  <si>
    <t>Plywood 6mm</t>
  </si>
  <si>
    <t>PCS</t>
  </si>
  <si>
    <t>Plywood 4mm</t>
  </si>
  <si>
    <t>INTERSTATE</t>
  </si>
  <si>
    <t>SR Hardware</t>
  </si>
  <si>
    <t>LOCAL</t>
  </si>
  <si>
    <t>Row Labels</t>
  </si>
  <si>
    <t>Grand Total</t>
  </si>
  <si>
    <t>Sum of TOTAL</t>
  </si>
  <si>
    <t>Apr</t>
  </si>
  <si>
    <t>May</t>
  </si>
  <si>
    <t>Jun</t>
  </si>
  <si>
    <t>Jul</t>
  </si>
  <si>
    <t>Sum of IGST</t>
  </si>
  <si>
    <t>Sum of CGST</t>
  </si>
  <si>
    <t>Sum of SGST</t>
  </si>
  <si>
    <t>Count of CESS</t>
  </si>
  <si>
    <t xml:space="preserve">Firm_Wise </t>
  </si>
  <si>
    <t>Month_Wise</t>
  </si>
  <si>
    <t>Product_Wise</t>
  </si>
  <si>
    <t>Product</t>
  </si>
  <si>
    <t>Product_Sale</t>
  </si>
  <si>
    <t>Month_Sale</t>
  </si>
  <si>
    <t>Firm_Sale</t>
  </si>
  <si>
    <t>Firm</t>
  </si>
  <si>
    <t>Month</t>
  </si>
  <si>
    <t>State_Wise</t>
  </si>
  <si>
    <t>State_Sale</t>
  </si>
  <si>
    <t>Tax_Wise</t>
  </si>
  <si>
    <t>Tax</t>
  </si>
  <si>
    <t>Total Revenue</t>
  </si>
  <si>
    <t>Total GST</t>
  </si>
  <si>
    <t>Total Qty.</t>
  </si>
  <si>
    <t>Total Tax Rate</t>
  </si>
  <si>
    <t>Total Orders</t>
  </si>
  <si>
    <t>KPI_VALUE</t>
  </si>
  <si>
    <t>KEY_INSIGHTS OF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</si>
</sst>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quot;₹&quot;\ #,##0.00"/>
  </numFmts>
  <fonts count="9" x14ac:knownFonts="1">
    <font>
      <sz val="11"/>
      <color theme="1"/>
      <name val="Calibri"/>
      <family val="2"/>
      <scheme val="minor"/>
    </font>
    <font>
      <sz val="11"/>
      <color theme="1"/>
      <name val="Calibri"/>
      <family val="2"/>
      <scheme val="minor"/>
    </font>
    <font>
      <sz val="12"/>
      <color theme="1"/>
      <name val="Calibri"/>
      <family val="2"/>
      <scheme val="minor"/>
    </font>
    <font>
      <b/>
      <sz val="14"/>
      <color theme="0"/>
      <name val="Calibri"/>
      <family val="2"/>
      <scheme val="minor"/>
    </font>
    <font>
      <sz val="14"/>
      <color theme="1"/>
      <name val="Calibri"/>
      <family val="2"/>
      <scheme val="minor"/>
    </font>
    <font>
      <sz val="11"/>
      <color theme="1"/>
      <name val="Arial Rounded MT Bold"/>
      <family val="2"/>
    </font>
    <font>
      <b/>
      <sz val="12"/>
      <color theme="8" tint="-0.249977111117893"/>
      <name val="Bodoni MT"/>
      <family val="1"/>
    </font>
    <font>
      <b/>
      <sz val="10"/>
      <color theme="1"/>
      <name val="Baskerville Old Face"/>
      <family val="1"/>
    </font>
    <font>
      <b/>
      <sz val="12"/>
      <color theme="8" tint="0.39997558519241921"/>
      <name val="Bodoni MT"/>
      <family val="1"/>
    </font>
  </fonts>
  <fills count="6">
    <fill>
      <patternFill patternType="none"/>
    </fill>
    <fill>
      <patternFill patternType="gray125"/>
    </fill>
    <fill>
      <patternFill patternType="solid">
        <fgColor theme="9" tint="0.59999389629810485"/>
        <bgColor indexed="65"/>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0" tint="-4.9989318521683403E-2"/>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medium">
        <color indexed="64"/>
      </left>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2" borderId="0" applyNumberFormat="0" applyBorder="0" applyAlignment="0" applyProtection="0"/>
  </cellStyleXfs>
  <cellXfs count="53">
    <xf numFmtId="0" fontId="0" fillId="0" borderId="0" xfId="0"/>
    <xf numFmtId="0" fontId="0" fillId="0" borderId="0" xfId="0" pivotButton="1"/>
    <xf numFmtId="0" fontId="0" fillId="0" borderId="0" xfId="0" applyAlignment="1">
      <alignment horizontal="left"/>
    </xf>
    <xf numFmtId="14" fontId="0" fillId="0" borderId="0" xfId="0" applyNumberFormat="1" applyAlignment="1">
      <alignment horizontal="left"/>
    </xf>
    <xf numFmtId="10" fontId="0" fillId="0" borderId="0" xfId="0" applyNumberFormat="1" applyAlignment="1">
      <alignment horizontal="left"/>
    </xf>
    <xf numFmtId="0" fontId="2" fillId="4" borderId="1" xfId="1" applyFont="1" applyFill="1" applyBorder="1" applyAlignment="1">
      <alignment horizontal="center" vertical="center"/>
    </xf>
    <xf numFmtId="14" fontId="2" fillId="4" borderId="1" xfId="1" applyNumberFormat="1" applyFont="1" applyFill="1" applyBorder="1" applyAlignment="1">
      <alignment horizontal="center" vertical="center"/>
    </xf>
    <xf numFmtId="10" fontId="2" fillId="4" borderId="1" xfId="1" applyNumberFormat="1" applyFont="1" applyFill="1" applyBorder="1" applyAlignment="1">
      <alignment horizontal="center" vertical="center"/>
    </xf>
    <xf numFmtId="4" fontId="2" fillId="4" borderId="1" xfId="1" applyNumberFormat="1" applyFont="1" applyFill="1" applyBorder="1" applyAlignment="1">
      <alignment horizontal="center" vertical="center"/>
    </xf>
    <xf numFmtId="4" fontId="2" fillId="4" borderId="1" xfId="0" applyNumberFormat="1" applyFont="1" applyFill="1" applyBorder="1"/>
    <xf numFmtId="4" fontId="2" fillId="4" borderId="1" xfId="1" applyNumberFormat="1" applyFont="1" applyFill="1" applyBorder="1"/>
    <xf numFmtId="0" fontId="2" fillId="2" borderId="1" xfId="1" applyFont="1" applyBorder="1" applyAlignment="1">
      <alignment horizontal="center" vertical="center"/>
    </xf>
    <xf numFmtId="14" fontId="2" fillId="2" borderId="1" xfId="1" applyNumberFormat="1" applyFont="1" applyBorder="1" applyAlignment="1">
      <alignment horizontal="center" vertical="center"/>
    </xf>
    <xf numFmtId="10" fontId="2" fillId="2" borderId="1" xfId="1" applyNumberFormat="1" applyFont="1" applyBorder="1" applyAlignment="1">
      <alignment horizontal="center" vertical="center"/>
    </xf>
    <xf numFmtId="4" fontId="2" fillId="2" borderId="1" xfId="1" applyNumberFormat="1" applyFont="1" applyBorder="1" applyAlignment="1">
      <alignment horizontal="center" vertical="center"/>
    </xf>
    <xf numFmtId="4" fontId="2" fillId="0" borderId="1" xfId="0" applyNumberFormat="1" applyFont="1" applyBorder="1"/>
    <xf numFmtId="4" fontId="2" fillId="2" borderId="1" xfId="1" applyNumberFormat="1" applyFont="1" applyBorder="1"/>
    <xf numFmtId="10" fontId="2" fillId="4" borderId="1" xfId="1" applyNumberFormat="1" applyFont="1" applyFill="1" applyBorder="1" applyAlignment="1">
      <alignment horizontal="center"/>
    </xf>
    <xf numFmtId="0" fontId="2" fillId="4" borderId="1" xfId="1" applyFont="1" applyFill="1" applyBorder="1" applyAlignment="1">
      <alignment horizontal="center"/>
    </xf>
    <xf numFmtId="10" fontId="2" fillId="2" borderId="1" xfId="1" applyNumberFormat="1" applyFont="1" applyBorder="1" applyAlignment="1">
      <alignment horizontal="center"/>
    </xf>
    <xf numFmtId="0" fontId="2" fillId="2" borderId="1" xfId="1" applyFont="1" applyBorder="1" applyAlignment="1">
      <alignment horizontal="center"/>
    </xf>
    <xf numFmtId="0" fontId="2" fillId="4" borderId="2" xfId="1" applyFont="1" applyFill="1" applyBorder="1" applyAlignment="1">
      <alignment horizontal="center" vertical="center"/>
    </xf>
    <xf numFmtId="0" fontId="2" fillId="2" borderId="2" xfId="1" applyFont="1" applyBorder="1" applyAlignment="1">
      <alignment horizontal="center" vertical="center"/>
    </xf>
    <xf numFmtId="9" fontId="3" fillId="3" borderId="0" xfId="0" applyNumberFormat="1" applyFont="1" applyFill="1" applyAlignment="1">
      <alignment horizontal="center" vertical="center"/>
    </xf>
    <xf numFmtId="9" fontId="3" fillId="3" borderId="3" xfId="0" applyNumberFormat="1" applyFont="1" applyFill="1" applyBorder="1" applyAlignment="1">
      <alignment horizontal="center" vertical="center"/>
    </xf>
    <xf numFmtId="10" fontId="3" fillId="3" borderId="3" xfId="0" applyNumberFormat="1" applyFont="1" applyFill="1" applyBorder="1" applyAlignment="1">
      <alignment horizontal="center" vertical="center"/>
    </xf>
    <xf numFmtId="164" fontId="3" fillId="3" borderId="3" xfId="0" applyNumberFormat="1" applyFont="1" applyFill="1" applyBorder="1" applyAlignment="1">
      <alignment horizontal="center" vertical="center"/>
    </xf>
    <xf numFmtId="4" fontId="0" fillId="0" borderId="0" xfId="0" applyNumberFormat="1"/>
    <xf numFmtId="0" fontId="4" fillId="0" borderId="0" xfId="0" applyFont="1"/>
    <xf numFmtId="0" fontId="0" fillId="0" borderId="0" xfId="0" applyAlignment="1">
      <alignment horizontal="center"/>
    </xf>
    <xf numFmtId="4" fontId="0" fillId="0" borderId="0" xfId="0" applyNumberFormat="1" applyAlignment="1">
      <alignment horizontal="center"/>
    </xf>
    <xf numFmtId="0" fontId="2" fillId="0" borderId="0" xfId="0" applyFont="1" applyAlignment="1">
      <alignment horizontal="center"/>
    </xf>
    <xf numFmtId="0" fontId="2" fillId="0" borderId="0" xfId="0" applyFont="1" applyAlignment="1">
      <alignment horizontal="left"/>
    </xf>
    <xf numFmtId="0" fontId="0" fillId="5" borderId="0" xfId="0" applyFill="1"/>
    <xf numFmtId="0" fontId="7" fillId="5" borderId="4" xfId="0" applyFont="1" applyFill="1" applyBorder="1" applyAlignment="1">
      <alignment horizontal="left"/>
    </xf>
    <xf numFmtId="0" fontId="7" fillId="5" borderId="5" xfId="0" applyFont="1" applyFill="1" applyBorder="1" applyAlignment="1">
      <alignment horizontal="center"/>
    </xf>
    <xf numFmtId="0" fontId="7" fillId="5" borderId="6" xfId="0" applyFont="1" applyFill="1" applyBorder="1" applyAlignment="1">
      <alignment horizontal="left"/>
    </xf>
    <xf numFmtId="165" fontId="7" fillId="5" borderId="7" xfId="0" applyNumberFormat="1" applyFont="1" applyFill="1" applyBorder="1" applyAlignment="1">
      <alignment horizontal="center"/>
    </xf>
    <xf numFmtId="0" fontId="7" fillId="5" borderId="8" xfId="0" applyFont="1" applyFill="1" applyBorder="1" applyAlignment="1">
      <alignment horizontal="left"/>
    </xf>
    <xf numFmtId="0" fontId="7" fillId="5" borderId="9" xfId="0" applyFont="1" applyFill="1" applyBorder="1" applyAlignment="1">
      <alignment horizontal="center"/>
    </xf>
    <xf numFmtId="10" fontId="7" fillId="5" borderId="9" xfId="0" applyNumberFormat="1" applyFont="1" applyFill="1" applyBorder="1" applyAlignment="1">
      <alignment horizontal="center"/>
    </xf>
    <xf numFmtId="165" fontId="7" fillId="5" borderId="9" xfId="0" applyNumberFormat="1" applyFont="1" applyFill="1" applyBorder="1" applyAlignment="1">
      <alignment horizontal="center"/>
    </xf>
    <xf numFmtId="0" fontId="7" fillId="5" borderId="10" xfId="0" applyFont="1" applyFill="1" applyBorder="1" applyAlignment="1">
      <alignment horizontal="left"/>
    </xf>
    <xf numFmtId="0" fontId="7" fillId="5" borderId="11" xfId="0" applyFont="1" applyFill="1" applyBorder="1" applyAlignment="1">
      <alignment horizontal="center"/>
    </xf>
    <xf numFmtId="0" fontId="0" fillId="0" borderId="0" xfId="0" pivotButton="1" applyAlignment="1">
      <alignment horizontal="center"/>
    </xf>
    <xf numFmtId="0" fontId="8" fillId="0" borderId="0" xfId="0" applyFont="1" applyAlignment="1">
      <alignment horizontal="center"/>
    </xf>
    <xf numFmtId="0" fontId="6" fillId="0" borderId="0" xfId="0" applyFont="1" applyAlignment="1">
      <alignment horizontal="center"/>
    </xf>
    <xf numFmtId="0" fontId="5" fillId="0" borderId="0" xfId="0" applyFont="1" applyAlignment="1">
      <alignment horizontal="center"/>
    </xf>
    <xf numFmtId="0" fontId="0" fillId="0" borderId="0" xfId="0" applyAlignment="1">
      <alignment horizontal="center"/>
    </xf>
    <xf numFmtId="0" fontId="0" fillId="0" borderId="0" xfId="0" applyFont="1" applyAlignment="1">
      <alignment horizontal="left"/>
    </xf>
    <xf numFmtId="0" fontId="0" fillId="0" borderId="0" xfId="0" applyFont="1" applyAlignment="1">
      <alignment horizontal="center"/>
    </xf>
    <xf numFmtId="4" fontId="0" fillId="0" borderId="0" xfId="0" applyNumberFormat="1" applyFont="1" applyAlignment="1">
      <alignment horizontal="center"/>
    </xf>
    <xf numFmtId="0" fontId="0" fillId="0" borderId="0" xfId="0" pivotButton="1" applyFont="1" applyAlignment="1">
      <alignment horizontal="left"/>
    </xf>
  </cellXfs>
  <cellStyles count="2">
    <cellStyle name="40% - Accent6" xfId="1" builtinId="51"/>
    <cellStyle name="Normal" xfId="0" builtinId="0"/>
  </cellStyles>
  <dxfs count="452">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alignment horizontal="left"/>
    </dxf>
    <dxf>
      <alignment horizontal="left"/>
    </dxf>
    <dxf>
      <alignment horizontal="left"/>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alignment horizontal="left"/>
    </dxf>
    <dxf>
      <alignment horizontal="left"/>
    </dxf>
    <dxf>
      <alignment horizontal="left"/>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alignment horizontal="left"/>
    </dxf>
    <dxf>
      <alignment horizontal="left"/>
    </dxf>
    <dxf>
      <alignment horizontal="left"/>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alignment horizontal="left"/>
    </dxf>
    <dxf>
      <alignment horizontal="left"/>
    </dxf>
    <dxf>
      <alignment horizontal="left"/>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alignment horizontal="left"/>
    </dxf>
    <dxf>
      <alignment horizontal="left"/>
    </dxf>
    <dxf>
      <alignment horizontal="left"/>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alignment horizontal="left"/>
    </dxf>
    <dxf>
      <alignment horizontal="left"/>
    </dxf>
    <dxf>
      <alignment horizontal="left"/>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alignment horizontal="left"/>
    </dxf>
    <dxf>
      <alignment horizontal="left"/>
    </dxf>
    <dxf>
      <alignment horizontal="left"/>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alignment horizontal="left"/>
    </dxf>
    <dxf>
      <alignment horizontal="left"/>
    </dxf>
    <dxf>
      <alignment horizontal="left"/>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alignment horizontal="left"/>
    </dxf>
    <dxf>
      <alignment horizontal="left"/>
    </dxf>
    <dxf>
      <alignment horizontal="left"/>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alignment horizontal="left"/>
    </dxf>
    <dxf>
      <alignment horizontal="left"/>
    </dxf>
    <dxf>
      <alignment horizontal="left"/>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alignment horizontal="left"/>
    </dxf>
    <dxf>
      <alignment horizontal="left"/>
    </dxf>
    <dxf>
      <alignment horizontal="left"/>
    </dxf>
    <dxf>
      <font>
        <sz val="11"/>
      </font>
    </dxf>
    <dxf>
      <font>
        <sz val="11"/>
      </font>
    </dxf>
    <dxf>
      <font>
        <sz val="11"/>
      </font>
    </dxf>
    <dxf>
      <font>
        <sz val="11"/>
      </font>
    </dxf>
    <dxf>
      <font>
        <sz val="11"/>
      </font>
    </dxf>
    <dxf>
      <font>
        <sz val="11"/>
      </font>
    </dxf>
    <dxf>
      <font>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1"/>
      </font>
    </dxf>
    <dxf>
      <font>
        <sz val="11"/>
      </font>
    </dxf>
    <dxf>
      <font>
        <sz val="11"/>
      </font>
    </dxf>
    <dxf>
      <font>
        <sz val="11"/>
      </font>
    </dxf>
    <dxf>
      <font>
        <sz val="11"/>
      </font>
    </dxf>
    <dxf>
      <font>
        <sz val="11"/>
      </font>
    </dxf>
    <dxf>
      <alignment horizontal="left"/>
    </dxf>
    <dxf>
      <alignment horizontal="left"/>
    </dxf>
    <dxf>
      <alignment horizontal="lef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sz val="11"/>
      </font>
    </dxf>
    <dxf>
      <font>
        <sz val="11"/>
      </font>
    </dxf>
    <dxf>
      <font>
        <sz val="11"/>
      </font>
    </dxf>
    <dxf>
      <font>
        <sz val="11"/>
      </font>
    </dxf>
    <dxf>
      <font>
        <sz val="11"/>
      </font>
    </dxf>
    <dxf>
      <font>
        <sz val="11"/>
      </font>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4" formatCode="0.00%"/>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4" formatCode="0.00%"/>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9" formatCode="dd/mm/yyyy"/>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4"/>
        <color theme="0"/>
        <name val="Calibri"/>
        <family val="2"/>
        <scheme val="minor"/>
      </font>
      <numFmt numFmtId="164" formatCode="[$-409]d\-mmm\-yy;@"/>
      <fill>
        <patternFill patternType="solid">
          <fgColor indexed="64"/>
          <bgColor rgb="FFFFC000"/>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Dashboard.xlsx]PIVOT_TABLE!PivotTable1</c:name>
    <c:fmtId val="11"/>
  </c:pivotSource>
  <c:chart>
    <c:title>
      <c:tx>
        <c:rich>
          <a:bodyPr rot="0" spcFirstLastPara="1" vertOverflow="ellipsis" vert="horz" wrap="square" anchor="ctr" anchorCtr="1"/>
          <a:lstStyle/>
          <a:p>
            <a:pPr>
              <a:defRPr sz="2000" b="1" i="0" u="none" strike="noStrike" kern="1200" spc="0" baseline="0">
                <a:ln>
                  <a:noFill/>
                </a:ln>
                <a:solidFill>
                  <a:sysClr val="windowText" lastClr="000000">
                    <a:lumMod val="65000"/>
                    <a:lumOff val="35000"/>
                    <a:alpha val="93000"/>
                  </a:sysClr>
                </a:solidFill>
                <a:latin typeface="Bodoni MT" panose="02070603080606020203" pitchFamily="18" charset="0"/>
                <a:ea typeface="+mn-ea"/>
                <a:cs typeface="+mn-cs"/>
              </a:defRPr>
            </a:pPr>
            <a:r>
              <a:rPr lang="en-IN" sz="2000" b="1">
                <a:ln>
                  <a:noFill/>
                </a:ln>
                <a:solidFill>
                  <a:sysClr val="windowText" lastClr="000000">
                    <a:lumMod val="65000"/>
                    <a:lumOff val="35000"/>
                    <a:alpha val="93000"/>
                  </a:sysClr>
                </a:solidFill>
                <a:latin typeface="Bodoni MT" panose="02070603080606020203" pitchFamily="18" charset="0"/>
              </a:rPr>
              <a:t>Firm_wise</a:t>
            </a:r>
          </a:p>
        </c:rich>
      </c:tx>
      <c:layout>
        <c:manualLayout>
          <c:xMode val="edge"/>
          <c:yMode val="edge"/>
          <c:x val="0.43974997331421001"/>
          <c:y val="2.4950218840642756E-2"/>
        </c:manualLayout>
      </c:layout>
      <c:overlay val="0"/>
      <c:spPr>
        <a:noFill/>
        <a:ln>
          <a:noFill/>
        </a:ln>
        <a:effectLst/>
      </c:spPr>
      <c:txPr>
        <a:bodyPr rot="0" spcFirstLastPara="1" vertOverflow="ellipsis" vert="horz" wrap="square" anchor="ctr" anchorCtr="1"/>
        <a:lstStyle/>
        <a:p>
          <a:pPr>
            <a:defRPr sz="2000" b="1" i="0" u="none" strike="noStrike" kern="1200" spc="0" baseline="0">
              <a:ln>
                <a:noFill/>
              </a:ln>
              <a:solidFill>
                <a:sysClr val="windowText" lastClr="000000">
                  <a:lumMod val="65000"/>
                  <a:lumOff val="35000"/>
                  <a:alpha val="93000"/>
                </a:sysClr>
              </a:solidFill>
              <a:latin typeface="Bodoni MT" panose="02070603080606020203" pitchFamily="18" charset="0"/>
              <a:ea typeface="+mn-ea"/>
              <a:cs typeface="+mn-cs"/>
            </a:defRPr>
          </a:pPr>
          <a:endParaRPr lang="en-US"/>
        </a:p>
      </c:txPr>
    </c:title>
    <c:autoTitleDeleted val="0"/>
    <c:pivotFmts>
      <c:pivotFmt>
        <c:idx val="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Aptos Display" panose="020B0004020202020204" pitchFamily="34" charset="0"/>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chemeClr val="dk1">
                      <a:lumMod val="65000"/>
                      <a:lumOff val="35000"/>
                    </a:schemeClr>
                  </a:solidFill>
                  <a:latin typeface="Aptos Display" panose="020B0004020202020204" pitchFamily="34" charset="0"/>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280164716263627"/>
                  <c:h val="0.15698442627461542"/>
                </c:manualLayout>
              </c15:layout>
            </c:ext>
          </c:extLst>
        </c:dLbl>
      </c:pivotFmt>
      <c:pivotFmt>
        <c:idx val="12"/>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chemeClr val="dk1">
                      <a:lumMod val="65000"/>
                      <a:lumOff val="35000"/>
                    </a:schemeClr>
                  </a:solidFill>
                  <a:latin typeface="Aptos Display" panose="020B0004020202020204" pitchFamily="34" charset="0"/>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53455652036433"/>
                  <c:h val="0.16434117957139671"/>
                </c:manualLayout>
              </c15:layout>
            </c:ext>
          </c:extLst>
        </c:dLbl>
      </c:pivotFmt>
    </c:pivotFmts>
    <c:plotArea>
      <c:layout/>
      <c:pieChart>
        <c:varyColors val="1"/>
        <c:ser>
          <c:idx val="0"/>
          <c:order val="0"/>
          <c:tx>
            <c:strRef>
              <c:f>PIVOT_TABLE!$C$4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F51-44B0-B8D7-2C7CC7170C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F51-44B0-B8D7-2C7CC7170CC3}"/>
              </c:ext>
            </c:extLst>
          </c:dPt>
          <c:dLbls>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chemeClr val="dk1">
                          <a:lumMod val="65000"/>
                          <a:lumOff val="35000"/>
                        </a:schemeClr>
                      </a:solidFill>
                      <a:latin typeface="Aptos Display" panose="020B0004020202020204" pitchFamily="34" charset="0"/>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280164716263627"/>
                      <c:h val="0.15698442627461542"/>
                    </c:manualLayout>
                  </c15:layout>
                </c:ext>
                <c:ext xmlns:c16="http://schemas.microsoft.com/office/drawing/2014/chart" uri="{C3380CC4-5D6E-409C-BE32-E72D297353CC}">
                  <c16:uniqueId val="{00000001-0F51-44B0-B8D7-2C7CC7170CC3}"/>
                </c:ext>
              </c:extLst>
            </c:dLbl>
            <c:dLbl>
              <c:idx val="1"/>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chemeClr val="dk1">
                          <a:lumMod val="65000"/>
                          <a:lumOff val="35000"/>
                        </a:schemeClr>
                      </a:solidFill>
                      <a:latin typeface="Aptos Display" panose="020B0004020202020204" pitchFamily="34" charset="0"/>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53455652036433"/>
                      <c:h val="0.16434117957139671"/>
                    </c:manualLayout>
                  </c15:layout>
                </c:ext>
                <c:ext xmlns:c16="http://schemas.microsoft.com/office/drawing/2014/chart" uri="{C3380CC4-5D6E-409C-BE32-E72D297353CC}">
                  <c16:uniqueId val="{00000003-0F51-44B0-B8D7-2C7CC7170CC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Aptos Display" panose="020B0004020202020204" pitchFamily="34" charset="0"/>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PIVOT_TABLE!$B$5:$B$7</c:f>
              <c:strCache>
                <c:ptCount val="2"/>
                <c:pt idx="0">
                  <c:v>JK Enterprise</c:v>
                </c:pt>
                <c:pt idx="1">
                  <c:v>SR Hardware</c:v>
                </c:pt>
              </c:strCache>
            </c:strRef>
          </c:cat>
          <c:val>
            <c:numRef>
              <c:f>PIVOT_TABLE!$C$5:$C$7</c:f>
              <c:numCache>
                <c:formatCode>#,##0.00</c:formatCode>
                <c:ptCount val="2"/>
                <c:pt idx="0">
                  <c:v>410376.47000000003</c:v>
                </c:pt>
                <c:pt idx="1">
                  <c:v>459587.38999999996</c:v>
                </c:pt>
              </c:numCache>
            </c:numRef>
          </c:val>
          <c:extLst>
            <c:ext xmlns:c16="http://schemas.microsoft.com/office/drawing/2014/chart" uri="{C3380CC4-5D6E-409C-BE32-E72D297353CC}">
              <c16:uniqueId val="{00000004-0F51-44B0-B8D7-2C7CC7170CC3}"/>
            </c:ext>
          </c:extLst>
        </c:ser>
        <c:dLbls>
          <c:dLblPos val="inEnd"/>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7193136053992546"/>
          <c:y val="0.47769451905523047"/>
          <c:w val="0.26473709746550944"/>
          <c:h val="0.3633468475034424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Bodoni MT" panose="02070603080606020203" pitchFamily="18" charset="0"/>
                <a:ea typeface="+mn-ea"/>
                <a:cs typeface="+mn-cs"/>
              </a:defRPr>
            </a:pPr>
            <a:r>
              <a:rPr lang="en-IN" sz="2000">
                <a:latin typeface="Bodoni MT" panose="02070603080606020203" pitchFamily="18" charset="0"/>
              </a:rPr>
              <a:t>Month_wise</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Bodoni MT" panose="02070603080606020203" pitchFamily="18"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Apr</c:v>
              </c:pt>
              <c:pt idx="1">
                <c:v>May</c:v>
              </c:pt>
              <c:pt idx="2">
                <c:v>Jun</c:v>
              </c:pt>
              <c:pt idx="3">
                <c:v>Jul</c:v>
              </c:pt>
            </c:strLit>
          </c:cat>
          <c:val>
            <c:numLit>
              <c:formatCode>General</c:formatCode>
              <c:ptCount val="4"/>
              <c:pt idx="0">
                <c:v>21004</c:v>
              </c:pt>
              <c:pt idx="1">
                <c:v>229752.43999999997</c:v>
              </c:pt>
              <c:pt idx="2">
                <c:v>389805.09</c:v>
              </c:pt>
              <c:pt idx="3">
                <c:v>229402.33</c:v>
              </c:pt>
            </c:numLit>
          </c:val>
          <c:smooth val="0"/>
          <c:extLst>
            <c:ext xmlns:c16="http://schemas.microsoft.com/office/drawing/2014/chart" uri="{C3380CC4-5D6E-409C-BE32-E72D297353CC}">
              <c16:uniqueId val="{00000000-65F5-4158-AD17-21F00C1A7C93}"/>
            </c:ext>
          </c:extLst>
        </c:ser>
        <c:dLbls>
          <c:dLblPos val="l"/>
          <c:showLegendKey val="0"/>
          <c:showVal val="1"/>
          <c:showCatName val="0"/>
          <c:showSerName val="0"/>
          <c:showPercent val="0"/>
          <c:showBubbleSize val="0"/>
        </c:dLbls>
        <c:smooth val="0"/>
        <c:axId val="1907434304"/>
        <c:axId val="1907426144"/>
      </c:lineChart>
      <c:catAx>
        <c:axId val="19074343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1907426144"/>
        <c:crosses val="autoZero"/>
        <c:auto val="1"/>
        <c:lblAlgn val="ctr"/>
        <c:lblOffset val="100"/>
        <c:noMultiLvlLbl val="0"/>
      </c:catAx>
      <c:valAx>
        <c:axId val="190742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190743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Dashboard.xlsx]PIVOT_TABLE!PivotTable3</c:name>
    <c:fmtId val="9"/>
  </c:pivotSource>
  <c:chart>
    <c:title>
      <c:tx>
        <c:rich>
          <a:bodyPr rot="0" spcFirstLastPara="1" vertOverflow="ellipsis" vert="horz" wrap="square" anchor="ctr" anchorCtr="1"/>
          <a:lstStyle/>
          <a:p>
            <a:pPr algn="ctr" rtl="0">
              <a:defRPr lang="en-IN" sz="2000" b="1" i="0" u="none" strike="noStrike" kern="1200" cap="none" spc="50" normalizeH="0" baseline="0">
                <a:solidFill>
                  <a:sysClr val="windowText" lastClr="000000">
                    <a:lumMod val="65000"/>
                    <a:lumOff val="35000"/>
                  </a:sysClr>
                </a:solidFill>
                <a:latin typeface="Bodoni MT" panose="02070603080606020203" pitchFamily="18" charset="0"/>
                <a:ea typeface="+mn-ea"/>
                <a:cs typeface="+mn-cs"/>
              </a:defRPr>
            </a:pPr>
            <a:r>
              <a:rPr lang="en-IN" sz="2000" b="1" i="0" u="none" strike="noStrike" kern="1200" baseline="0">
                <a:solidFill>
                  <a:sysClr val="windowText" lastClr="000000">
                    <a:lumMod val="65000"/>
                    <a:lumOff val="35000"/>
                  </a:sysClr>
                </a:solidFill>
                <a:latin typeface="Bodoni MT" panose="02070603080606020203" pitchFamily="18" charset="0"/>
                <a:ea typeface="+mn-ea"/>
                <a:cs typeface="+mn-cs"/>
              </a:rPr>
              <a:t>Tax_wise</a:t>
            </a:r>
          </a:p>
        </c:rich>
      </c:tx>
      <c:overlay val="0"/>
      <c:spPr>
        <a:noFill/>
        <a:ln>
          <a:noFill/>
        </a:ln>
        <a:effectLst/>
      </c:spPr>
      <c:txPr>
        <a:bodyPr rot="0" spcFirstLastPara="1" vertOverflow="ellipsis" vert="horz" wrap="square" anchor="ctr" anchorCtr="1"/>
        <a:lstStyle/>
        <a:p>
          <a:pPr algn="ctr" rtl="0">
            <a:defRPr lang="en-IN" sz="2000" b="1" i="0" u="none" strike="noStrike" kern="1200" cap="none" spc="50" normalizeH="0" baseline="0">
              <a:solidFill>
                <a:sysClr val="windowText" lastClr="000000">
                  <a:lumMod val="65000"/>
                  <a:lumOff val="35000"/>
                </a:sysClr>
              </a:solidFill>
              <a:latin typeface="Bodoni MT" panose="02070603080606020203" pitchFamily="18"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70000"/>
            </a:schemeClr>
          </a:solidFill>
          <a:ln>
            <a:noFill/>
          </a:ln>
          <a:effectLst/>
        </c:spPr>
        <c:marker>
          <c:symbol val="circle"/>
          <c:size val="6"/>
          <c:spPr>
            <a:solidFill>
              <a:schemeClr val="accent3">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70000"/>
            </a:schemeClr>
          </a:solidFill>
          <a:ln>
            <a:noFill/>
          </a:ln>
          <a:effectLst/>
        </c:spPr>
        <c:marker>
          <c:symbol val="circle"/>
          <c:size val="6"/>
          <c:spPr>
            <a:solidFill>
              <a:schemeClr val="accent4">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PIVOT_TABLE!$G$14</c:f>
              <c:strCache>
                <c:ptCount val="1"/>
                <c:pt idx="0">
                  <c:v>Sum of IGST</c:v>
                </c:pt>
              </c:strCache>
            </c:strRef>
          </c:tx>
          <c:spPr>
            <a:solidFill>
              <a:schemeClr val="accent1">
                <a:alpha val="70000"/>
              </a:schemeClr>
            </a:solidFill>
            <a:ln>
              <a:noFill/>
            </a:ln>
            <a:effectLst/>
          </c:spPr>
          <c:invertIfNegative val="0"/>
          <c:cat>
            <c:strRef>
              <c:f>PIVOT_TABLE!$F$15:$F$22</c:f>
              <c:strCache>
                <c:ptCount val="7"/>
                <c:pt idx="0">
                  <c:v>0.00%</c:v>
                </c:pt>
                <c:pt idx="1">
                  <c:v>0.10%</c:v>
                </c:pt>
                <c:pt idx="2">
                  <c:v>3.00%</c:v>
                </c:pt>
                <c:pt idx="3">
                  <c:v>5.00%</c:v>
                </c:pt>
                <c:pt idx="4">
                  <c:v>12.00%</c:v>
                </c:pt>
                <c:pt idx="5">
                  <c:v>18.00%</c:v>
                </c:pt>
                <c:pt idx="6">
                  <c:v>28.00%</c:v>
                </c:pt>
              </c:strCache>
            </c:strRef>
          </c:cat>
          <c:val>
            <c:numRef>
              <c:f>PIVOT_TABLE!$G$15:$G$22</c:f>
              <c:numCache>
                <c:formatCode>#,##0.00</c:formatCode>
                <c:ptCount val="7"/>
                <c:pt idx="0">
                  <c:v>0</c:v>
                </c:pt>
                <c:pt idx="1">
                  <c:v>0</c:v>
                </c:pt>
                <c:pt idx="2">
                  <c:v>1505.25</c:v>
                </c:pt>
                <c:pt idx="3">
                  <c:v>1393.75</c:v>
                </c:pt>
                <c:pt idx="4">
                  <c:v>0</c:v>
                </c:pt>
                <c:pt idx="5">
                  <c:v>8429.4</c:v>
                </c:pt>
                <c:pt idx="6">
                  <c:v>0</c:v>
                </c:pt>
              </c:numCache>
            </c:numRef>
          </c:val>
          <c:extLst>
            <c:ext xmlns:c16="http://schemas.microsoft.com/office/drawing/2014/chart" uri="{C3380CC4-5D6E-409C-BE32-E72D297353CC}">
              <c16:uniqueId val="{00000000-68F6-40A9-AFF9-613ED3D84859}"/>
            </c:ext>
          </c:extLst>
        </c:ser>
        <c:ser>
          <c:idx val="1"/>
          <c:order val="1"/>
          <c:tx>
            <c:strRef>
              <c:f>PIVOT_TABLE!$H$14</c:f>
              <c:strCache>
                <c:ptCount val="1"/>
                <c:pt idx="0">
                  <c:v>Sum of CGST</c:v>
                </c:pt>
              </c:strCache>
            </c:strRef>
          </c:tx>
          <c:spPr>
            <a:solidFill>
              <a:schemeClr val="accent2">
                <a:alpha val="70000"/>
              </a:schemeClr>
            </a:solidFill>
            <a:ln>
              <a:noFill/>
            </a:ln>
            <a:effectLst/>
          </c:spPr>
          <c:invertIfNegative val="0"/>
          <c:cat>
            <c:strRef>
              <c:f>PIVOT_TABLE!$F$15:$F$22</c:f>
              <c:strCache>
                <c:ptCount val="7"/>
                <c:pt idx="0">
                  <c:v>0.00%</c:v>
                </c:pt>
                <c:pt idx="1">
                  <c:v>0.10%</c:v>
                </c:pt>
                <c:pt idx="2">
                  <c:v>3.00%</c:v>
                </c:pt>
                <c:pt idx="3">
                  <c:v>5.00%</c:v>
                </c:pt>
                <c:pt idx="4">
                  <c:v>12.00%</c:v>
                </c:pt>
                <c:pt idx="5">
                  <c:v>18.00%</c:v>
                </c:pt>
                <c:pt idx="6">
                  <c:v>28.00%</c:v>
                </c:pt>
              </c:strCache>
            </c:strRef>
          </c:cat>
          <c:val>
            <c:numRef>
              <c:f>PIVOT_TABLE!$H$15:$H$22</c:f>
              <c:numCache>
                <c:formatCode>#,##0.00</c:formatCode>
                <c:ptCount val="7"/>
                <c:pt idx="0">
                  <c:v>0</c:v>
                </c:pt>
                <c:pt idx="1">
                  <c:v>46.83</c:v>
                </c:pt>
                <c:pt idx="2">
                  <c:v>1087.125</c:v>
                </c:pt>
                <c:pt idx="3">
                  <c:v>2871.125</c:v>
                </c:pt>
                <c:pt idx="4">
                  <c:v>7559.4</c:v>
                </c:pt>
                <c:pt idx="5">
                  <c:v>3307.95</c:v>
                </c:pt>
                <c:pt idx="6">
                  <c:v>19200.300000000003</c:v>
                </c:pt>
              </c:numCache>
            </c:numRef>
          </c:val>
          <c:extLst>
            <c:ext xmlns:c16="http://schemas.microsoft.com/office/drawing/2014/chart" uri="{C3380CC4-5D6E-409C-BE32-E72D297353CC}">
              <c16:uniqueId val="{00000001-68F6-40A9-AFF9-613ED3D84859}"/>
            </c:ext>
          </c:extLst>
        </c:ser>
        <c:ser>
          <c:idx val="2"/>
          <c:order val="2"/>
          <c:tx>
            <c:strRef>
              <c:f>PIVOT_TABLE!$I$14</c:f>
              <c:strCache>
                <c:ptCount val="1"/>
                <c:pt idx="0">
                  <c:v>Sum of SGST</c:v>
                </c:pt>
              </c:strCache>
            </c:strRef>
          </c:tx>
          <c:spPr>
            <a:solidFill>
              <a:schemeClr val="accent3">
                <a:alpha val="70000"/>
              </a:schemeClr>
            </a:solidFill>
            <a:ln>
              <a:noFill/>
            </a:ln>
            <a:effectLst/>
          </c:spPr>
          <c:invertIfNegative val="0"/>
          <c:cat>
            <c:strRef>
              <c:f>PIVOT_TABLE!$F$15:$F$22</c:f>
              <c:strCache>
                <c:ptCount val="7"/>
                <c:pt idx="0">
                  <c:v>0.00%</c:v>
                </c:pt>
                <c:pt idx="1">
                  <c:v>0.10%</c:v>
                </c:pt>
                <c:pt idx="2">
                  <c:v>3.00%</c:v>
                </c:pt>
                <c:pt idx="3">
                  <c:v>5.00%</c:v>
                </c:pt>
                <c:pt idx="4">
                  <c:v>12.00%</c:v>
                </c:pt>
                <c:pt idx="5">
                  <c:v>18.00%</c:v>
                </c:pt>
                <c:pt idx="6">
                  <c:v>28.00%</c:v>
                </c:pt>
              </c:strCache>
            </c:strRef>
          </c:cat>
          <c:val>
            <c:numRef>
              <c:f>PIVOT_TABLE!$I$15:$I$22</c:f>
              <c:numCache>
                <c:formatCode>#,##0.00</c:formatCode>
                <c:ptCount val="7"/>
                <c:pt idx="0">
                  <c:v>0</c:v>
                </c:pt>
                <c:pt idx="1">
                  <c:v>46.83</c:v>
                </c:pt>
                <c:pt idx="2">
                  <c:v>1087.125</c:v>
                </c:pt>
                <c:pt idx="3">
                  <c:v>2871.125</c:v>
                </c:pt>
                <c:pt idx="4">
                  <c:v>7559.4</c:v>
                </c:pt>
                <c:pt idx="5">
                  <c:v>3307.95</c:v>
                </c:pt>
                <c:pt idx="6">
                  <c:v>19200.300000000003</c:v>
                </c:pt>
              </c:numCache>
            </c:numRef>
          </c:val>
          <c:extLst>
            <c:ext xmlns:c16="http://schemas.microsoft.com/office/drawing/2014/chart" uri="{C3380CC4-5D6E-409C-BE32-E72D297353CC}">
              <c16:uniqueId val="{00000002-68F6-40A9-AFF9-613ED3D84859}"/>
            </c:ext>
          </c:extLst>
        </c:ser>
        <c:ser>
          <c:idx val="3"/>
          <c:order val="3"/>
          <c:tx>
            <c:strRef>
              <c:f>PIVOT_TABLE!$J$14</c:f>
              <c:strCache>
                <c:ptCount val="1"/>
                <c:pt idx="0">
                  <c:v>Sum of TOTAL</c:v>
                </c:pt>
              </c:strCache>
            </c:strRef>
          </c:tx>
          <c:spPr>
            <a:solidFill>
              <a:schemeClr val="accent4">
                <a:alpha val="70000"/>
              </a:schemeClr>
            </a:solidFill>
            <a:ln>
              <a:noFill/>
            </a:ln>
            <a:effectLst/>
          </c:spPr>
          <c:invertIfNegative val="0"/>
          <c:cat>
            <c:strRef>
              <c:f>PIVOT_TABLE!$F$15:$F$22</c:f>
              <c:strCache>
                <c:ptCount val="7"/>
                <c:pt idx="0">
                  <c:v>0.00%</c:v>
                </c:pt>
                <c:pt idx="1">
                  <c:v>0.10%</c:v>
                </c:pt>
                <c:pt idx="2">
                  <c:v>3.00%</c:v>
                </c:pt>
                <c:pt idx="3">
                  <c:v>5.00%</c:v>
                </c:pt>
                <c:pt idx="4">
                  <c:v>12.00%</c:v>
                </c:pt>
                <c:pt idx="5">
                  <c:v>18.00%</c:v>
                </c:pt>
                <c:pt idx="6">
                  <c:v>28.00%</c:v>
                </c:pt>
              </c:strCache>
            </c:strRef>
          </c:cat>
          <c:val>
            <c:numRef>
              <c:f>PIVOT_TABLE!$J$15:$J$22</c:f>
              <c:numCache>
                <c:formatCode>#,##0.00</c:formatCode>
                <c:ptCount val="7"/>
                <c:pt idx="0">
                  <c:v>84740</c:v>
                </c:pt>
                <c:pt idx="1">
                  <c:v>93753.659999999989</c:v>
                </c:pt>
                <c:pt idx="2">
                  <c:v>126329.5</c:v>
                </c:pt>
                <c:pt idx="3">
                  <c:v>149856</c:v>
                </c:pt>
                <c:pt idx="4">
                  <c:v>141108.79999999999</c:v>
                </c:pt>
                <c:pt idx="5">
                  <c:v>98630.3</c:v>
                </c:pt>
                <c:pt idx="6">
                  <c:v>175545.59999999998</c:v>
                </c:pt>
              </c:numCache>
            </c:numRef>
          </c:val>
          <c:extLst>
            <c:ext xmlns:c16="http://schemas.microsoft.com/office/drawing/2014/chart" uri="{C3380CC4-5D6E-409C-BE32-E72D297353CC}">
              <c16:uniqueId val="{00000003-68F6-40A9-AFF9-613ED3D84859}"/>
            </c:ext>
          </c:extLst>
        </c:ser>
        <c:dLbls>
          <c:showLegendKey val="0"/>
          <c:showVal val="0"/>
          <c:showCatName val="0"/>
          <c:showSerName val="0"/>
          <c:showPercent val="0"/>
          <c:showBubbleSize val="0"/>
        </c:dLbls>
        <c:gapWidth val="80"/>
        <c:overlap val="25"/>
        <c:axId val="56103456"/>
        <c:axId val="56112096"/>
      </c:barChart>
      <c:catAx>
        <c:axId val="5610345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cap="none" spc="20" normalizeH="0" baseline="0">
                <a:solidFill>
                  <a:schemeClr val="tx1">
                    <a:lumMod val="65000"/>
                    <a:lumOff val="35000"/>
                  </a:schemeClr>
                </a:solidFill>
                <a:latin typeface="Aptos Display" panose="020B0004020202020204" pitchFamily="34" charset="0"/>
                <a:ea typeface="+mn-ea"/>
                <a:cs typeface="+mn-cs"/>
              </a:defRPr>
            </a:pPr>
            <a:endParaRPr lang="en-US"/>
          </a:p>
        </c:txPr>
        <c:crossAx val="56112096"/>
        <c:crosses val="autoZero"/>
        <c:auto val="1"/>
        <c:lblAlgn val="ctr"/>
        <c:lblOffset val="100"/>
        <c:noMultiLvlLbl val="0"/>
      </c:catAx>
      <c:valAx>
        <c:axId val="56112096"/>
        <c:scaling>
          <c:orientation val="minMax"/>
        </c:scaling>
        <c:delete val="0"/>
        <c:axPos val="l"/>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spc="20" baseline="0">
                <a:solidFill>
                  <a:schemeClr val="tx1">
                    <a:lumMod val="65000"/>
                    <a:lumOff val="35000"/>
                  </a:schemeClr>
                </a:solidFill>
                <a:latin typeface="Aptos Display" panose="020B0004020202020204" pitchFamily="34" charset="0"/>
                <a:ea typeface="+mn-ea"/>
                <a:cs typeface="+mn-cs"/>
              </a:defRPr>
            </a:pPr>
            <a:endParaRPr lang="en-US"/>
          </a:p>
        </c:txPr>
        <c:crossAx val="5610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Dashboard.xlsx]PIVOT_TABLE!PivotTable5</c:name>
    <c:fmtId val="9"/>
  </c:pivotSource>
  <c:chart>
    <c:title>
      <c:tx>
        <c:rich>
          <a:bodyPr rot="0" spcFirstLastPara="1" vertOverflow="ellipsis" vert="horz" wrap="square" anchor="ctr" anchorCtr="1"/>
          <a:lstStyle/>
          <a:p>
            <a:pPr algn="ctr" rtl="0">
              <a:defRPr lang="en-US" sz="2000" b="1" i="0" u="none" strike="noStrike" kern="1200" cap="none" spc="50" normalizeH="0" baseline="0">
                <a:solidFill>
                  <a:sysClr val="windowText" lastClr="000000">
                    <a:lumMod val="65000"/>
                    <a:lumOff val="35000"/>
                  </a:sysClr>
                </a:solidFill>
                <a:latin typeface="Bodoni MT" panose="02070603080606020203" pitchFamily="18" charset="0"/>
                <a:ea typeface="+mn-ea"/>
                <a:cs typeface="+mn-cs"/>
              </a:defRPr>
            </a:pPr>
            <a:r>
              <a:rPr lang="en-US" sz="2000" b="1" i="0" u="none" strike="noStrike" kern="1200" cap="none" spc="50" normalizeH="0" baseline="0">
                <a:solidFill>
                  <a:sysClr val="windowText" lastClr="000000">
                    <a:lumMod val="65000"/>
                    <a:lumOff val="35000"/>
                  </a:sysClr>
                </a:solidFill>
                <a:latin typeface="Bodoni MT" panose="02070603080606020203" pitchFamily="18" charset="0"/>
                <a:ea typeface="+mn-ea"/>
                <a:cs typeface="+mn-cs"/>
              </a:rPr>
              <a:t>State_Wise</a:t>
            </a:r>
          </a:p>
        </c:rich>
      </c:tx>
      <c:overlay val="0"/>
      <c:spPr>
        <a:noFill/>
        <a:ln>
          <a:noFill/>
        </a:ln>
        <a:effectLst/>
      </c:spPr>
      <c:txPr>
        <a:bodyPr rot="0" spcFirstLastPara="1" vertOverflow="ellipsis" vert="horz" wrap="square" anchor="ctr" anchorCtr="1"/>
        <a:lstStyle/>
        <a:p>
          <a:pPr algn="ctr" rtl="0">
            <a:defRPr lang="en-US" sz="2000" b="1" i="0" u="none" strike="noStrike" kern="1200" cap="none" spc="50" normalizeH="0" baseline="0">
              <a:solidFill>
                <a:sysClr val="windowText" lastClr="000000">
                  <a:lumMod val="65000"/>
                  <a:lumOff val="35000"/>
                </a:sysClr>
              </a:solidFill>
              <a:latin typeface="Bodoni MT" panose="02070603080606020203" pitchFamily="18" charset="0"/>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barChart>
        <c:barDir val="bar"/>
        <c:grouping val="clustered"/>
        <c:varyColors val="0"/>
        <c:ser>
          <c:idx val="0"/>
          <c:order val="0"/>
          <c:tx>
            <c:strRef>
              <c:f>PIVOT_TABLE!$L$4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C95B-49F5-A875-EC193A5EDE4B}"/>
              </c:ext>
            </c:extLst>
          </c:dPt>
          <c:dLbls>
            <c:dLbl>
              <c:idx val="0"/>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0-C95B-49F5-A875-EC193A5EDE4B}"/>
                </c:ext>
              </c:extLst>
            </c:dLbl>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PIVOT_TABLE!$K$5:$K$7</c:f>
              <c:strCache>
                <c:ptCount val="2"/>
                <c:pt idx="0">
                  <c:v>INTERSTATE</c:v>
                </c:pt>
                <c:pt idx="1">
                  <c:v>Local</c:v>
                </c:pt>
              </c:strCache>
            </c:strRef>
          </c:cat>
          <c:val>
            <c:numRef>
              <c:f>PIVOT_TABLE!$L$5:$L$7</c:f>
              <c:numCache>
                <c:formatCode>#,##0.00</c:formatCode>
                <c:ptCount val="2"/>
                <c:pt idx="0">
                  <c:v>139553.4</c:v>
                </c:pt>
                <c:pt idx="1">
                  <c:v>730410.46</c:v>
                </c:pt>
              </c:numCache>
            </c:numRef>
          </c:val>
          <c:extLst>
            <c:ext xmlns:c16="http://schemas.microsoft.com/office/drawing/2014/chart" uri="{C3380CC4-5D6E-409C-BE32-E72D297353CC}">
              <c16:uniqueId val="{00000000-1CBA-4ECF-B32E-627F2151C2ED}"/>
            </c:ext>
          </c:extLst>
        </c:ser>
        <c:dLbls>
          <c:dLblPos val="inEnd"/>
          <c:showLegendKey val="0"/>
          <c:showVal val="1"/>
          <c:showCatName val="0"/>
          <c:showSerName val="0"/>
          <c:showPercent val="0"/>
          <c:showBubbleSize val="0"/>
        </c:dLbls>
        <c:gapWidth val="115"/>
        <c:overlap val="-20"/>
        <c:axId val="56115936"/>
        <c:axId val="56099616"/>
      </c:barChart>
      <c:valAx>
        <c:axId val="5609961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56115936"/>
        <c:crosses val="autoZero"/>
        <c:crossBetween val="between"/>
      </c:valAx>
      <c:catAx>
        <c:axId val="5611593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5609961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6350</xdr:colOff>
      <xdr:row>2</xdr:row>
      <xdr:rowOff>165100</xdr:rowOff>
    </xdr:from>
    <xdr:to>
      <xdr:col>12</xdr:col>
      <xdr:colOff>25400</xdr:colOff>
      <xdr:row>17</xdr:row>
      <xdr:rowOff>0</xdr:rowOff>
    </xdr:to>
    <xdr:sp macro="" textlink="">
      <xdr:nvSpPr>
        <xdr:cNvPr id="2" name="TextBox 1">
          <a:extLst>
            <a:ext uri="{FF2B5EF4-FFF2-40B4-BE49-F238E27FC236}">
              <a16:creationId xmlns:a16="http://schemas.microsoft.com/office/drawing/2014/main" id="{A56C55F2-72AD-3C72-6FEF-0E63EF0CC34E}"/>
            </a:ext>
          </a:extLst>
        </xdr:cNvPr>
        <xdr:cNvSpPr txBox="1"/>
      </xdr:nvSpPr>
      <xdr:spPr>
        <a:xfrm>
          <a:off x="2444750" y="546100"/>
          <a:ext cx="5022850" cy="25971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  </a:t>
          </a:r>
          <a:r>
            <a:rPr lang="en-IN" sz="1200" b="0">
              <a:solidFill>
                <a:schemeClr val="accent1">
                  <a:lumMod val="50000"/>
                </a:schemeClr>
              </a:solidFill>
              <a:latin typeface="Bookman Old Style" panose="02050604050505020204" pitchFamily="18" charset="0"/>
            </a:rPr>
            <a:t>SR Enterprise generates the highest sales compared to JK Hardware.  </a:t>
          </a:r>
        </a:p>
        <a:p>
          <a:pPr algn="ctr"/>
          <a:endParaRPr lang="en-IN" sz="1200" b="0">
            <a:solidFill>
              <a:schemeClr val="accent1">
                <a:lumMod val="50000"/>
              </a:schemeClr>
            </a:solidFill>
            <a:latin typeface="Bookman Old Style" panose="02050604050505020204" pitchFamily="18" charset="0"/>
          </a:endParaRPr>
        </a:p>
        <a:p>
          <a:pPr algn="ctr"/>
          <a:r>
            <a:rPr lang="en-IN" sz="1200" b="0">
              <a:solidFill>
                <a:schemeClr val="accent1">
                  <a:lumMod val="50000"/>
                </a:schemeClr>
              </a:solidFill>
              <a:latin typeface="Bookman Old Style" panose="02050604050505020204" pitchFamily="18" charset="0"/>
            </a:rPr>
            <a:t>•  Majority of sales are Local, as CGST and SGST are higher than IGST.  </a:t>
          </a:r>
        </a:p>
        <a:p>
          <a:pPr algn="ctr"/>
          <a:endParaRPr lang="en-IN" sz="1200" b="0">
            <a:solidFill>
              <a:schemeClr val="accent1">
                <a:lumMod val="50000"/>
              </a:schemeClr>
            </a:solidFill>
            <a:latin typeface="Bookman Old Style" panose="02050604050505020204" pitchFamily="18" charset="0"/>
          </a:endParaRPr>
        </a:p>
        <a:p>
          <a:pPr algn="ctr"/>
          <a:r>
            <a:rPr lang="en-IN" sz="1200" b="0">
              <a:solidFill>
                <a:schemeClr val="accent1">
                  <a:lumMod val="50000"/>
                </a:schemeClr>
              </a:solidFill>
              <a:latin typeface="Bookman Old Style" panose="02050604050505020204" pitchFamily="18" charset="0"/>
            </a:rPr>
            <a:t>•  Sales show a peak in the month of June, indicating higher demand.   </a:t>
          </a:r>
        </a:p>
        <a:p>
          <a:pPr algn="ctr"/>
          <a:endParaRPr lang="en-IN" sz="1200" b="0">
            <a:solidFill>
              <a:schemeClr val="accent1">
                <a:lumMod val="50000"/>
              </a:schemeClr>
            </a:solidFill>
            <a:latin typeface="Bookman Old Style" panose="02050604050505020204" pitchFamily="18" charset="0"/>
          </a:endParaRPr>
        </a:p>
        <a:p>
          <a:pPr algn="ctr"/>
          <a:r>
            <a:rPr lang="en-IN" sz="1200" b="0">
              <a:solidFill>
                <a:schemeClr val="accent1">
                  <a:lumMod val="50000"/>
                </a:schemeClr>
              </a:solidFill>
              <a:latin typeface="Bookman Old Style" panose="02050604050505020204" pitchFamily="18" charset="0"/>
            </a:rPr>
            <a:t>•  Plywood (4mm) contributes slightly more to total sales than 3mm.  </a:t>
          </a:r>
        </a:p>
        <a:p>
          <a:pPr algn="ctr"/>
          <a:endParaRPr lang="en-IN" sz="1200" b="0">
            <a:solidFill>
              <a:schemeClr val="accent1">
                <a:lumMod val="50000"/>
              </a:schemeClr>
            </a:solidFill>
            <a:latin typeface="Bookman Old Style" panose="02050604050505020204" pitchFamily="18" charset="0"/>
          </a:endParaRPr>
        </a:p>
        <a:p>
          <a:pPr algn="ctr"/>
          <a:r>
            <a:rPr lang="en-IN" sz="1200" b="0">
              <a:solidFill>
                <a:schemeClr val="accent1">
                  <a:lumMod val="50000"/>
                </a:schemeClr>
              </a:solidFill>
              <a:latin typeface="Bookman Old Style" panose="02050604050505020204" pitchFamily="18" charset="0"/>
            </a:rPr>
            <a:t>•  Haryana contributes higher sales compared to other states.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316088</xdr:colOff>
      <xdr:row>16</xdr:row>
      <xdr:rowOff>135932</xdr:rowOff>
    </xdr:from>
    <xdr:to>
      <xdr:col>23</xdr:col>
      <xdr:colOff>341923</xdr:colOff>
      <xdr:row>34</xdr:row>
      <xdr:rowOff>157248</xdr:rowOff>
    </xdr:to>
    <xdr:graphicFrame macro="">
      <xdr:nvGraphicFramePr>
        <xdr:cNvPr id="2" name="Chart 1">
          <a:extLst>
            <a:ext uri="{FF2B5EF4-FFF2-40B4-BE49-F238E27FC236}">
              <a16:creationId xmlns:a16="http://schemas.microsoft.com/office/drawing/2014/main" id="{6D301282-3201-493A-912A-80A6F01C9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161946</xdr:colOff>
      <xdr:row>16</xdr:row>
      <xdr:rowOff>120939</xdr:rowOff>
    </xdr:from>
    <xdr:to>
      <xdr:col>34</xdr:col>
      <xdr:colOff>113974</xdr:colOff>
      <xdr:row>34</xdr:row>
      <xdr:rowOff>134451</xdr:rowOff>
    </xdr:to>
    <xdr:graphicFrame macro="">
      <xdr:nvGraphicFramePr>
        <xdr:cNvPr id="3" name="Chart 2">
          <a:extLst>
            <a:ext uri="{FF2B5EF4-FFF2-40B4-BE49-F238E27FC236}">
              <a16:creationId xmlns:a16="http://schemas.microsoft.com/office/drawing/2014/main" id="{DE6882FE-F9AB-4C3A-9E7D-936A99A10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149110</xdr:colOff>
      <xdr:row>36</xdr:row>
      <xdr:rowOff>22094</xdr:rowOff>
    </xdr:from>
    <xdr:to>
      <xdr:col>34</xdr:col>
      <xdr:colOff>162820</xdr:colOff>
      <xdr:row>53</xdr:row>
      <xdr:rowOff>146537</xdr:rowOff>
    </xdr:to>
    <xdr:graphicFrame macro="">
      <xdr:nvGraphicFramePr>
        <xdr:cNvPr id="4" name="Chart 3">
          <a:extLst>
            <a:ext uri="{FF2B5EF4-FFF2-40B4-BE49-F238E27FC236}">
              <a16:creationId xmlns:a16="http://schemas.microsoft.com/office/drawing/2014/main" id="{0ECA3A04-F8BE-483E-8123-6E763146E5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314186</xdr:colOff>
      <xdr:row>36</xdr:row>
      <xdr:rowOff>1337</xdr:rowOff>
    </xdr:from>
    <xdr:to>
      <xdr:col>23</xdr:col>
      <xdr:colOff>374486</xdr:colOff>
      <xdr:row>53</xdr:row>
      <xdr:rowOff>130256</xdr:rowOff>
    </xdr:to>
    <xdr:graphicFrame macro="">
      <xdr:nvGraphicFramePr>
        <xdr:cNvPr id="6" name="Chart 5">
          <a:extLst>
            <a:ext uri="{FF2B5EF4-FFF2-40B4-BE49-F238E27FC236}">
              <a16:creationId xmlns:a16="http://schemas.microsoft.com/office/drawing/2014/main" id="{0E7B7E4E-7275-41E8-8EA8-5605EBC7E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34</xdr:col>
      <xdr:colOff>413319</xdr:colOff>
      <xdr:row>19</xdr:row>
      <xdr:rowOff>172123</xdr:rowOff>
    </xdr:from>
    <xdr:to>
      <xdr:col>40</xdr:col>
      <xdr:colOff>503580</xdr:colOff>
      <xdr:row>30</xdr:row>
      <xdr:rowOff>0</xdr:rowOff>
    </xdr:to>
    <mc:AlternateContent xmlns:mc="http://schemas.openxmlformats.org/markup-compatibility/2006" xmlns:a14="http://schemas.microsoft.com/office/drawing/2010/main">
      <mc:Choice Requires="a14">
        <xdr:graphicFrame macro="">
          <xdr:nvGraphicFramePr>
            <xdr:cNvPr id="7" name="Pt_state 1">
              <a:extLst>
                <a:ext uri="{FF2B5EF4-FFF2-40B4-BE49-F238E27FC236}">
                  <a16:creationId xmlns:a16="http://schemas.microsoft.com/office/drawing/2014/main" id="{F2069B31-D65C-4B40-88EE-94F161EC6FD8}"/>
                </a:ext>
              </a:extLst>
            </xdr:cNvPr>
            <xdr:cNvGraphicFramePr/>
          </xdr:nvGraphicFramePr>
          <xdr:xfrm>
            <a:off x="0" y="0"/>
            <a:ext cx="0" cy="0"/>
          </xdr:xfrm>
          <a:graphic>
            <a:graphicData uri="http://schemas.microsoft.com/office/drawing/2010/slicer">
              <sle:slicer xmlns:sle="http://schemas.microsoft.com/office/drawing/2010/slicer" name="Pt_state 1"/>
            </a:graphicData>
          </a:graphic>
        </xdr:graphicFrame>
      </mc:Choice>
      <mc:Fallback xmlns="">
        <xdr:sp macro="" textlink="">
          <xdr:nvSpPr>
            <xdr:cNvPr id="0" name=""/>
            <xdr:cNvSpPr>
              <a:spLocks noTextEdit="1"/>
            </xdr:cNvSpPr>
          </xdr:nvSpPr>
          <xdr:spPr>
            <a:xfrm>
              <a:off x="20896140" y="3575072"/>
              <a:ext cx="3704876" cy="1798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493526</xdr:colOff>
      <xdr:row>42</xdr:row>
      <xdr:rowOff>65128</xdr:rowOff>
    </xdr:from>
    <xdr:to>
      <xdr:col>40</xdr:col>
      <xdr:colOff>494032</xdr:colOff>
      <xdr:row>53</xdr:row>
      <xdr:rowOff>16281</xdr:rowOff>
    </xdr:to>
    <mc:AlternateContent xmlns:mc="http://schemas.openxmlformats.org/markup-compatibility/2006" xmlns:a14="http://schemas.microsoft.com/office/drawing/2010/main">
      <mc:Choice Requires="a14">
        <xdr:graphicFrame macro="">
          <xdr:nvGraphicFramePr>
            <xdr:cNvPr id="8" name="Firm Name  1">
              <a:extLst>
                <a:ext uri="{FF2B5EF4-FFF2-40B4-BE49-F238E27FC236}">
                  <a16:creationId xmlns:a16="http://schemas.microsoft.com/office/drawing/2014/main" id="{EC04A840-7EB3-46E1-BED7-F0F9E4E43888}"/>
                </a:ext>
              </a:extLst>
            </xdr:cNvPr>
            <xdr:cNvGraphicFramePr/>
          </xdr:nvGraphicFramePr>
          <xdr:xfrm>
            <a:off x="0" y="0"/>
            <a:ext cx="0" cy="0"/>
          </xdr:xfrm>
          <a:graphic>
            <a:graphicData uri="http://schemas.microsoft.com/office/drawing/2010/slicer">
              <sle:slicer xmlns:sle="http://schemas.microsoft.com/office/drawing/2010/slicer" name="Firm Name  1"/>
            </a:graphicData>
          </a:graphic>
        </xdr:graphicFrame>
      </mc:Choice>
      <mc:Fallback xmlns="">
        <xdr:sp macro="" textlink="">
          <xdr:nvSpPr>
            <xdr:cNvPr id="0" name=""/>
            <xdr:cNvSpPr>
              <a:spLocks noTextEdit="1"/>
            </xdr:cNvSpPr>
          </xdr:nvSpPr>
          <xdr:spPr>
            <a:xfrm>
              <a:off x="20976347" y="7587436"/>
              <a:ext cx="3615121" cy="1921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448183</xdr:colOff>
      <xdr:row>31</xdr:row>
      <xdr:rowOff>56988</xdr:rowOff>
    </xdr:from>
    <xdr:to>
      <xdr:col>40</xdr:col>
      <xdr:colOff>522188</xdr:colOff>
      <xdr:row>40</xdr:row>
      <xdr:rowOff>113974</xdr:rowOff>
    </xdr:to>
    <mc:AlternateContent xmlns:mc="http://schemas.openxmlformats.org/markup-compatibility/2006" xmlns:a14="http://schemas.microsoft.com/office/drawing/2010/main">
      <mc:Choice Requires="a14">
        <xdr:graphicFrame macro="">
          <xdr:nvGraphicFramePr>
            <xdr:cNvPr id="9" name="Products 1">
              <a:extLst>
                <a:ext uri="{FF2B5EF4-FFF2-40B4-BE49-F238E27FC236}">
                  <a16:creationId xmlns:a16="http://schemas.microsoft.com/office/drawing/2014/main" id="{6F11997E-2288-464D-B7F6-F679C8DAE7D1}"/>
                </a:ext>
              </a:extLst>
            </xdr:cNvPr>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mlns="">
        <xdr:sp macro="" textlink="">
          <xdr:nvSpPr>
            <xdr:cNvPr id="0" name=""/>
            <xdr:cNvSpPr>
              <a:spLocks noTextEdit="1"/>
            </xdr:cNvSpPr>
          </xdr:nvSpPr>
          <xdr:spPr>
            <a:xfrm>
              <a:off x="20931004" y="5609167"/>
              <a:ext cx="3688620" cy="16689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352593</xdr:colOff>
      <xdr:row>36</xdr:row>
      <xdr:rowOff>66559</xdr:rowOff>
    </xdr:from>
    <xdr:to>
      <xdr:col>12</xdr:col>
      <xdr:colOff>550589</xdr:colOff>
      <xdr:row>53</xdr:row>
      <xdr:rowOff>0</xdr:rowOff>
    </xdr:to>
    <mc:AlternateContent xmlns:mc="http://schemas.openxmlformats.org/markup-compatibility/2006" xmlns:a14="http://schemas.microsoft.com/office/drawing/2010/main">
      <mc:Choice Requires="a14">
        <xdr:graphicFrame macro="">
          <xdr:nvGraphicFramePr>
            <xdr:cNvPr id="10" name="Tax Rate 1">
              <a:extLst>
                <a:ext uri="{FF2B5EF4-FFF2-40B4-BE49-F238E27FC236}">
                  <a16:creationId xmlns:a16="http://schemas.microsoft.com/office/drawing/2014/main" id="{41BCEADB-0ED1-4FA9-BBD5-BA8B803F0FE5}"/>
                </a:ext>
              </a:extLst>
            </xdr:cNvPr>
            <xdr:cNvGraphicFramePr/>
          </xdr:nvGraphicFramePr>
          <xdr:xfrm>
            <a:off x="0" y="0"/>
            <a:ext cx="0" cy="0"/>
          </xdr:xfrm>
          <a:graphic>
            <a:graphicData uri="http://schemas.microsoft.com/office/drawing/2010/slicer">
              <sle:slicer xmlns:sle="http://schemas.microsoft.com/office/drawing/2010/slicer" name="Tax Rate 1"/>
            </a:graphicData>
          </a:graphic>
        </xdr:graphicFrame>
      </mc:Choice>
      <mc:Fallback xmlns="">
        <xdr:sp macro="" textlink="">
          <xdr:nvSpPr>
            <xdr:cNvPr id="0" name=""/>
            <xdr:cNvSpPr>
              <a:spLocks noTextEdit="1"/>
            </xdr:cNvSpPr>
          </xdr:nvSpPr>
          <xdr:spPr>
            <a:xfrm>
              <a:off x="3967208" y="6514251"/>
              <a:ext cx="3812612" cy="3141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397766</xdr:colOff>
      <xdr:row>8</xdr:row>
      <xdr:rowOff>63041</xdr:rowOff>
    </xdr:from>
    <xdr:to>
      <xdr:col>40</xdr:col>
      <xdr:colOff>471092</xdr:colOff>
      <xdr:row>18</xdr:row>
      <xdr:rowOff>32564</xdr:rowOff>
    </xdr:to>
    <mc:AlternateContent xmlns:mc="http://schemas.openxmlformats.org/markup-compatibility/2006" xmlns:a14="http://schemas.microsoft.com/office/drawing/2010/main">
      <mc:Choice Requires="a14">
        <xdr:graphicFrame macro="">
          <xdr:nvGraphicFramePr>
            <xdr:cNvPr id="11" name="Months (Date) 1">
              <a:extLst>
                <a:ext uri="{FF2B5EF4-FFF2-40B4-BE49-F238E27FC236}">
                  <a16:creationId xmlns:a16="http://schemas.microsoft.com/office/drawing/2014/main" id="{FD219449-0E57-4C2A-91BC-30E89A6E5D41}"/>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20880587" y="1495862"/>
              <a:ext cx="3687941" cy="17605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537307</xdr:colOff>
      <xdr:row>1</xdr:row>
      <xdr:rowOff>28493</xdr:rowOff>
    </xdr:from>
    <xdr:to>
      <xdr:col>34</xdr:col>
      <xdr:colOff>32564</xdr:colOff>
      <xdr:row>5</xdr:row>
      <xdr:rowOff>169799</xdr:rowOff>
    </xdr:to>
    <xdr:sp macro="" textlink="">
      <xdr:nvSpPr>
        <xdr:cNvPr id="12" name="TextBox 11">
          <a:extLst>
            <a:ext uri="{FF2B5EF4-FFF2-40B4-BE49-F238E27FC236}">
              <a16:creationId xmlns:a16="http://schemas.microsoft.com/office/drawing/2014/main" id="{AFEFD492-53C3-4820-9530-5DA8562CE4C9}"/>
            </a:ext>
          </a:extLst>
        </xdr:cNvPr>
        <xdr:cNvSpPr txBox="1"/>
      </xdr:nvSpPr>
      <xdr:spPr>
        <a:xfrm>
          <a:off x="7766538" y="207596"/>
          <a:ext cx="12748847" cy="857716"/>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5400" b="1">
              <a:solidFill>
                <a:schemeClr val="tx2"/>
              </a:solidFill>
              <a:latin typeface="Bodoni MT Black" panose="02070A03080606020203" pitchFamily="18" charset="0"/>
            </a:rPr>
            <a:t>Sales Analysis Dashboard</a:t>
          </a:r>
        </a:p>
      </xdr:txBody>
    </xdr:sp>
    <xdr:clientData/>
  </xdr:twoCellAnchor>
  <xdr:twoCellAnchor>
    <xdr:from>
      <xdr:col>13</xdr:col>
      <xdr:colOff>337853</xdr:colOff>
      <xdr:row>8</xdr:row>
      <xdr:rowOff>51486</xdr:rowOff>
    </xdr:from>
    <xdr:to>
      <xdr:col>18</xdr:col>
      <xdr:colOff>16282</xdr:colOff>
      <xdr:row>15</xdr:row>
      <xdr:rowOff>30238</xdr:rowOff>
    </xdr:to>
    <xdr:sp macro="" textlink="'KPI_VALUE '!G4">
      <xdr:nvSpPr>
        <xdr:cNvPr id="13" name="Rectangle 12">
          <a:extLst>
            <a:ext uri="{FF2B5EF4-FFF2-40B4-BE49-F238E27FC236}">
              <a16:creationId xmlns:a16="http://schemas.microsoft.com/office/drawing/2014/main" id="{A0E2586F-D9F1-DD3D-EDC9-5D395689EC19}"/>
            </a:ext>
          </a:extLst>
        </xdr:cNvPr>
        <xdr:cNvSpPr/>
      </xdr:nvSpPr>
      <xdr:spPr>
        <a:xfrm>
          <a:off x="5157340" y="1484307"/>
          <a:ext cx="2690609" cy="1232469"/>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400" b="0" i="0" u="none" strike="noStrike">
              <a:solidFill>
                <a:srgbClr val="000000"/>
              </a:solidFill>
              <a:latin typeface="Bodoni MT" panose="02070603080606020203" pitchFamily="18" charset="0"/>
              <a:ea typeface="Calibri"/>
              <a:cs typeface="Calibri"/>
            </a:rPr>
            <a:t>Total Revenue</a:t>
          </a:r>
        </a:p>
        <a:p>
          <a:pPr marL="0" indent="0" algn="ctr"/>
          <a:endParaRPr lang="en-US" sz="2400" b="0" i="0" u="none" strike="noStrike">
            <a:solidFill>
              <a:srgbClr val="000000"/>
            </a:solidFill>
            <a:latin typeface="Bodoni MT" panose="02070603080606020203" pitchFamily="18" charset="0"/>
            <a:ea typeface="Calibri"/>
            <a:cs typeface="Calibri"/>
          </a:endParaRPr>
        </a:p>
        <a:p>
          <a:pPr marL="0" indent="0" algn="ctr"/>
          <a:fld id="{1FED1B7C-DA43-4E98-93DB-250AAC5A742A}" type="TxLink">
            <a:rPr lang="en-US" sz="2400" b="0" i="0" u="none" strike="noStrike">
              <a:solidFill>
                <a:srgbClr val="000000"/>
              </a:solidFill>
              <a:latin typeface="Bodoni MT" panose="02070603080606020203" pitchFamily="18" charset="0"/>
              <a:ea typeface="Calibri"/>
              <a:cs typeface="Calibri"/>
            </a:rPr>
            <a:pPr marL="0" indent="0" algn="ctr"/>
            <a:t>₹ 8,69,963.86</a:t>
          </a:fld>
          <a:endParaRPr lang="en-IN" sz="2400" b="0" i="0" u="none" strike="noStrike">
            <a:solidFill>
              <a:srgbClr val="000000"/>
            </a:solidFill>
            <a:latin typeface="Bodoni MT" panose="02070603080606020203" pitchFamily="18" charset="0"/>
            <a:ea typeface="Calibri"/>
            <a:cs typeface="Calibri"/>
          </a:endParaRPr>
        </a:p>
      </xdr:txBody>
    </xdr:sp>
    <xdr:clientData/>
  </xdr:twoCellAnchor>
  <xdr:twoCellAnchor>
    <xdr:from>
      <xdr:col>24</xdr:col>
      <xdr:colOff>227947</xdr:colOff>
      <xdr:row>8</xdr:row>
      <xdr:rowOff>57966</xdr:rowOff>
    </xdr:from>
    <xdr:to>
      <xdr:col>28</xdr:col>
      <xdr:colOff>569870</xdr:colOff>
      <xdr:row>15</xdr:row>
      <xdr:rowOff>37166</xdr:rowOff>
    </xdr:to>
    <xdr:sp macro="" textlink="'KPI_VALUE '!G6">
      <xdr:nvSpPr>
        <xdr:cNvPr id="14" name="Rectangle 13">
          <a:extLst>
            <a:ext uri="{FF2B5EF4-FFF2-40B4-BE49-F238E27FC236}">
              <a16:creationId xmlns:a16="http://schemas.microsoft.com/office/drawing/2014/main" id="{CDC75DA3-F37C-4BD2-B53B-C719D4377947}"/>
            </a:ext>
          </a:extLst>
        </xdr:cNvPr>
        <xdr:cNvSpPr/>
      </xdr:nvSpPr>
      <xdr:spPr>
        <a:xfrm>
          <a:off x="11674229" y="1490787"/>
          <a:ext cx="2751667" cy="1232917"/>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400" b="0" i="0" u="none" strike="noStrike">
              <a:solidFill>
                <a:srgbClr val="000000"/>
              </a:solidFill>
              <a:latin typeface="Bodoni MT" panose="02070603080606020203" pitchFamily="18" charset="0"/>
              <a:ea typeface="Calibri"/>
              <a:cs typeface="Calibri"/>
            </a:rPr>
            <a:t>Total GST</a:t>
          </a:r>
        </a:p>
        <a:p>
          <a:pPr marL="0" indent="0" algn="ctr"/>
          <a:endParaRPr lang="en-US" sz="2400" b="0" i="0" u="none" strike="noStrike">
            <a:solidFill>
              <a:srgbClr val="000000"/>
            </a:solidFill>
            <a:latin typeface="Bodoni MT" panose="02070603080606020203" pitchFamily="18" charset="0"/>
            <a:ea typeface="Calibri"/>
            <a:cs typeface="Calibri"/>
          </a:endParaRPr>
        </a:p>
        <a:p>
          <a:pPr marL="0" indent="0" algn="ctr"/>
          <a:fld id="{911D6FEF-E26E-477C-8202-FCEDEAF7C365}" type="TxLink">
            <a:rPr lang="en-US" sz="2400" b="0" i="0" u="none" strike="noStrike">
              <a:solidFill>
                <a:srgbClr val="000000"/>
              </a:solidFill>
              <a:latin typeface="Bodoni MT" panose="02070603080606020203" pitchFamily="18" charset="0"/>
              <a:ea typeface="Calibri"/>
              <a:cs typeface="Calibri"/>
            </a:rPr>
            <a:pPr marL="0" indent="0" algn="ctr"/>
            <a:t>₹ 79,473.86</a:t>
          </a:fld>
          <a:endParaRPr lang="en-IN" sz="2400" b="0" i="0" u="none" strike="noStrike">
            <a:solidFill>
              <a:srgbClr val="000000"/>
            </a:solidFill>
            <a:latin typeface="Bodoni MT" panose="02070603080606020203" pitchFamily="18" charset="0"/>
            <a:ea typeface="Calibri"/>
            <a:cs typeface="Calibri"/>
          </a:endParaRPr>
        </a:p>
      </xdr:txBody>
    </xdr:sp>
    <xdr:clientData/>
  </xdr:twoCellAnchor>
  <xdr:twoCellAnchor>
    <xdr:from>
      <xdr:col>29</xdr:col>
      <xdr:colOff>537307</xdr:colOff>
      <xdr:row>8</xdr:row>
      <xdr:rowOff>49083</xdr:rowOff>
    </xdr:from>
    <xdr:to>
      <xdr:col>34</xdr:col>
      <xdr:colOff>16281</xdr:colOff>
      <xdr:row>15</xdr:row>
      <xdr:rowOff>28283</xdr:rowOff>
    </xdr:to>
    <xdr:sp macro="" textlink="'KPI_VALUE '!G12">
      <xdr:nvSpPr>
        <xdr:cNvPr id="15" name="Rectangle 14">
          <a:extLst>
            <a:ext uri="{FF2B5EF4-FFF2-40B4-BE49-F238E27FC236}">
              <a16:creationId xmlns:a16="http://schemas.microsoft.com/office/drawing/2014/main" id="{ECE4A2DC-5A2F-4F87-AB8C-4FFD546C5D97}"/>
            </a:ext>
          </a:extLst>
        </xdr:cNvPr>
        <xdr:cNvSpPr/>
      </xdr:nvSpPr>
      <xdr:spPr>
        <a:xfrm>
          <a:off x="14995769" y="1481904"/>
          <a:ext cx="2491153" cy="1232917"/>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400" b="0" i="0" u="none" strike="noStrike">
              <a:solidFill>
                <a:srgbClr val="000000"/>
              </a:solidFill>
              <a:latin typeface="Bodoni MT" panose="02070603080606020203" pitchFamily="18" charset="0"/>
              <a:ea typeface="Calibri"/>
              <a:cs typeface="Calibri"/>
            </a:rPr>
            <a:t>Total Orders</a:t>
          </a:r>
        </a:p>
        <a:p>
          <a:pPr marL="0" indent="0" algn="ctr"/>
          <a:endParaRPr lang="en-US" sz="2400" b="0" i="0" u="none" strike="noStrike">
            <a:solidFill>
              <a:srgbClr val="000000"/>
            </a:solidFill>
            <a:latin typeface="Bodoni MT" panose="02070603080606020203" pitchFamily="18" charset="0"/>
            <a:ea typeface="Calibri"/>
            <a:cs typeface="Calibri"/>
          </a:endParaRPr>
        </a:p>
        <a:p>
          <a:pPr marL="0" indent="0" algn="ctr"/>
          <a:fld id="{95869AE7-E799-48FB-92D9-BEA84F171E2F}" type="TxLink">
            <a:rPr lang="en-US" sz="2400" b="1" i="0" u="none" strike="noStrike">
              <a:solidFill>
                <a:srgbClr val="000000"/>
              </a:solidFill>
              <a:latin typeface="Bodoni MT" panose="02070603080606020203" pitchFamily="18" charset="0"/>
              <a:ea typeface="Calibri"/>
              <a:cs typeface="Calibri"/>
            </a:rPr>
            <a:pPr marL="0" indent="0" algn="ctr"/>
            <a:t>36</a:t>
          </a:fld>
          <a:endParaRPr lang="en-IN" sz="2400" b="1" i="0" u="none" strike="noStrike">
            <a:solidFill>
              <a:srgbClr val="000000"/>
            </a:solidFill>
            <a:latin typeface="Bodoni MT" panose="02070603080606020203" pitchFamily="18" charset="0"/>
            <a:ea typeface="Calibri"/>
            <a:cs typeface="Calibri"/>
          </a:endParaRPr>
        </a:p>
      </xdr:txBody>
    </xdr:sp>
    <xdr:clientData/>
  </xdr:twoCellAnchor>
  <xdr:twoCellAnchor>
    <xdr:from>
      <xdr:col>18</xdr:col>
      <xdr:colOff>537307</xdr:colOff>
      <xdr:row>8</xdr:row>
      <xdr:rowOff>27468</xdr:rowOff>
    </xdr:from>
    <xdr:to>
      <xdr:col>23</xdr:col>
      <xdr:colOff>260512</xdr:colOff>
      <xdr:row>15</xdr:row>
      <xdr:rowOff>6668</xdr:rowOff>
    </xdr:to>
    <xdr:sp macro="" textlink="'KPI_VALUE '!G8">
      <xdr:nvSpPr>
        <xdr:cNvPr id="17" name="Rectangle 16">
          <a:extLst>
            <a:ext uri="{FF2B5EF4-FFF2-40B4-BE49-F238E27FC236}">
              <a16:creationId xmlns:a16="http://schemas.microsoft.com/office/drawing/2014/main" id="{6AD28E8C-183D-45DC-BBD1-D48FA8E7C5DD}"/>
            </a:ext>
          </a:extLst>
        </xdr:cNvPr>
        <xdr:cNvSpPr/>
      </xdr:nvSpPr>
      <xdr:spPr>
        <a:xfrm>
          <a:off x="8368974" y="1460289"/>
          <a:ext cx="2735384" cy="1232917"/>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400" b="0" i="0" u="none" strike="noStrike">
              <a:solidFill>
                <a:srgbClr val="000000"/>
              </a:solidFill>
              <a:latin typeface="Bodoni MT" panose="02070603080606020203" pitchFamily="18" charset="0"/>
              <a:ea typeface="Calibri"/>
              <a:cs typeface="Calibri"/>
            </a:rPr>
            <a:t>Total Qty.</a:t>
          </a:r>
        </a:p>
        <a:p>
          <a:pPr marL="0" indent="0" algn="ctr"/>
          <a:endParaRPr lang="en-US" sz="2400" b="0" i="0" u="none" strike="noStrike">
            <a:solidFill>
              <a:srgbClr val="000000"/>
            </a:solidFill>
            <a:latin typeface="Bodoni MT" panose="02070603080606020203" pitchFamily="18" charset="0"/>
            <a:ea typeface="Calibri"/>
            <a:cs typeface="Calibri"/>
          </a:endParaRPr>
        </a:p>
        <a:p>
          <a:pPr marL="0" indent="0" algn="ctr"/>
          <a:fld id="{C1E78B82-29E2-4DCF-9FE7-C58D5F963935}" type="TxLink">
            <a:rPr lang="en-US" sz="2400" b="0" i="0" u="none" strike="noStrike">
              <a:solidFill>
                <a:srgbClr val="000000"/>
              </a:solidFill>
              <a:latin typeface="Bodoni MT" panose="02070603080606020203" pitchFamily="18" charset="0"/>
              <a:ea typeface="Calibri"/>
              <a:cs typeface="Calibri"/>
            </a:rPr>
            <a:pPr marL="0" indent="0" algn="ctr"/>
            <a:t>700</a:t>
          </a:fld>
          <a:endParaRPr lang="en-IN" sz="2400" b="0" i="0" u="none" strike="noStrike">
            <a:solidFill>
              <a:srgbClr val="000000"/>
            </a:solidFill>
            <a:latin typeface="Bodoni MT" panose="02070603080606020203" pitchFamily="18" charset="0"/>
            <a:ea typeface="Calibri"/>
            <a:cs typeface="Calibri"/>
          </a:endParaRPr>
        </a:p>
      </xdr:txBody>
    </xdr:sp>
    <xdr:clientData/>
  </xdr:twoCellAnchor>
  <xdr:twoCellAnchor>
    <xdr:from>
      <xdr:col>6</xdr:col>
      <xdr:colOff>297234</xdr:colOff>
      <xdr:row>8</xdr:row>
      <xdr:rowOff>30237</xdr:rowOff>
    </xdr:from>
    <xdr:to>
      <xdr:col>12</xdr:col>
      <xdr:colOff>493139</xdr:colOff>
      <xdr:row>35</xdr:row>
      <xdr:rowOff>48845</xdr:rowOff>
    </xdr:to>
    <xdr:sp macro="" textlink="">
      <xdr:nvSpPr>
        <xdr:cNvPr id="18" name="TextBox 17">
          <a:extLst>
            <a:ext uri="{FF2B5EF4-FFF2-40B4-BE49-F238E27FC236}">
              <a16:creationId xmlns:a16="http://schemas.microsoft.com/office/drawing/2014/main" id="{4B90F7AF-0DC3-526A-355B-8E6A72B08799}"/>
            </a:ext>
          </a:extLst>
        </xdr:cNvPr>
        <xdr:cNvSpPr txBox="1"/>
      </xdr:nvSpPr>
      <xdr:spPr>
        <a:xfrm>
          <a:off x="899670" y="1463058"/>
          <a:ext cx="3810520" cy="4854377"/>
        </a:xfrm>
        <a:prstGeom prst="rect">
          <a:avLst/>
        </a:prstGeom>
        <a:solidFill>
          <a:schemeClr val="bg1">
            <a:lumMod val="85000"/>
          </a:schemeClr>
        </a:solidFill>
        <a:ln/>
        <a:effectLst/>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IN" sz="1600"/>
            <a:t> </a:t>
          </a:r>
          <a:r>
            <a:rPr lang="en-IN" sz="2400" b="1">
              <a:latin typeface="Bodoni MT Black" panose="02070A03080606020203" pitchFamily="18" charset="0"/>
            </a:rPr>
            <a:t>Key Insights</a:t>
          </a:r>
          <a:endParaRPr lang="en-IN" sz="1200" b="1">
            <a:latin typeface="Bodoni MT Black" panose="02070A03080606020203" pitchFamily="18" charset="0"/>
          </a:endParaRPr>
        </a:p>
        <a:p>
          <a:pPr algn="ctr"/>
          <a:endParaRPr lang="en-IN" sz="1800">
            <a:latin typeface="Cambria" panose="02040503050406030204" pitchFamily="18" charset="0"/>
            <a:ea typeface="Cambria" panose="02040503050406030204" pitchFamily="18" charset="0"/>
          </a:endParaRPr>
        </a:p>
        <a:p>
          <a:pPr algn="ctr"/>
          <a:r>
            <a:rPr lang="en-IN" sz="2000" b="1" baseline="0">
              <a:latin typeface="Cambria" panose="02040503050406030204" pitchFamily="18" charset="0"/>
              <a:ea typeface="Cambria" panose="02040503050406030204" pitchFamily="18" charset="0"/>
            </a:rPr>
            <a:t>--  SR Enterprise generates highest revenue.</a:t>
          </a:r>
        </a:p>
        <a:p>
          <a:pPr algn="ctr"/>
          <a:endParaRPr lang="en-IN" sz="2000" b="1" baseline="0">
            <a:latin typeface="Cambria" panose="02040503050406030204" pitchFamily="18" charset="0"/>
            <a:ea typeface="Cambria" panose="02040503050406030204" pitchFamily="18" charset="0"/>
          </a:endParaRPr>
        </a:p>
        <a:p>
          <a:pPr algn="ctr"/>
          <a:endParaRPr lang="en-IN" sz="2000" b="1" baseline="0">
            <a:solidFill>
              <a:schemeClr val="bg1">
                <a:lumMod val="95000"/>
              </a:schemeClr>
            </a:solidFill>
            <a:latin typeface="Cambria" panose="02040503050406030204" pitchFamily="18" charset="0"/>
            <a:ea typeface="Cambria" panose="02040503050406030204" pitchFamily="18" charset="0"/>
          </a:endParaRPr>
        </a:p>
        <a:p>
          <a:pPr algn="ctr"/>
          <a:r>
            <a:rPr lang="en-IN" sz="2000" b="1" baseline="0">
              <a:latin typeface="Cambria" panose="02040503050406030204" pitchFamily="18" charset="0"/>
              <a:ea typeface="Cambria" panose="02040503050406030204" pitchFamily="18" charset="0"/>
            </a:rPr>
            <a:t>--   Majority Sales are local (CGST + SGST dominate).</a:t>
          </a:r>
        </a:p>
        <a:p>
          <a:pPr algn="ctr"/>
          <a:endParaRPr lang="en-IN" sz="2000" b="1" baseline="0">
            <a:latin typeface="Cambria" panose="02040503050406030204" pitchFamily="18" charset="0"/>
            <a:ea typeface="Cambria" panose="02040503050406030204" pitchFamily="18" charset="0"/>
          </a:endParaRPr>
        </a:p>
        <a:p>
          <a:pPr algn="ctr"/>
          <a:endParaRPr lang="en-IN" sz="2000" b="1" baseline="0">
            <a:latin typeface="Cambria" panose="02040503050406030204" pitchFamily="18" charset="0"/>
            <a:ea typeface="Cambria" panose="02040503050406030204" pitchFamily="18" charset="0"/>
          </a:endParaRPr>
        </a:p>
        <a:p>
          <a:pPr algn="ctr"/>
          <a:r>
            <a:rPr lang="en-IN" sz="2000" b="1" baseline="0">
              <a:latin typeface="Cambria" panose="02040503050406030204" pitchFamily="18" charset="0"/>
              <a:ea typeface="Cambria" panose="02040503050406030204" pitchFamily="18" charset="0"/>
            </a:rPr>
            <a:t>--  Sales peak in june.</a:t>
          </a:r>
        </a:p>
        <a:p>
          <a:pPr algn="ctr"/>
          <a:endParaRPr lang="en-IN" sz="2000" b="1" baseline="0">
            <a:latin typeface="Cambria" panose="02040503050406030204" pitchFamily="18" charset="0"/>
            <a:ea typeface="Cambria" panose="02040503050406030204" pitchFamily="18" charset="0"/>
          </a:endParaRPr>
        </a:p>
        <a:p>
          <a:pPr algn="ctr"/>
          <a:endParaRPr lang="en-IN" sz="2000" b="1" baseline="0">
            <a:latin typeface="Cambria" panose="02040503050406030204" pitchFamily="18" charset="0"/>
            <a:ea typeface="Cambria" panose="02040503050406030204" pitchFamily="18" charset="0"/>
          </a:endParaRPr>
        </a:p>
        <a:p>
          <a:pPr algn="ctr"/>
          <a:r>
            <a:rPr lang="en-IN" sz="2000" b="1" baseline="0">
              <a:latin typeface="Cambria" panose="02040503050406030204" pitchFamily="18" charset="0"/>
              <a:ea typeface="Cambria" panose="02040503050406030204" pitchFamily="18" charset="0"/>
            </a:rPr>
            <a:t>--   Plywood </a:t>
          </a:r>
          <a:r>
            <a:rPr lang="en-IN" sz="2000" b="1" baseline="0">
              <a:solidFill>
                <a:schemeClr val="dk1"/>
              </a:solidFill>
              <a:latin typeface="Cambria" panose="02040503050406030204" pitchFamily="18" charset="0"/>
              <a:ea typeface="Cambria" panose="02040503050406030204" pitchFamily="18" charset="0"/>
              <a:cs typeface="+mn-cs"/>
            </a:rPr>
            <a:t>4mm</a:t>
          </a:r>
          <a:r>
            <a:rPr lang="en-IN" sz="2000" b="1" baseline="0">
              <a:latin typeface="Cambria" panose="02040503050406030204" pitchFamily="18" charset="0"/>
              <a:ea typeface="Cambria" panose="02040503050406030204" pitchFamily="18" charset="0"/>
            </a:rPr>
            <a:t> slightly higher</a:t>
          </a:r>
          <a:r>
            <a:rPr lang="en-IN" sz="2000" b="1" baseline="0">
              <a:latin typeface="Candara Light" panose="020E0502030303020204" pitchFamily="34" charset="0"/>
            </a:rPr>
            <a:t> </a:t>
          </a:r>
          <a:r>
            <a:rPr lang="en-IN" sz="2000" b="1" baseline="0">
              <a:solidFill>
                <a:schemeClr val="dk1"/>
              </a:solidFill>
              <a:latin typeface="Cambria" panose="02040503050406030204" pitchFamily="18" charset="0"/>
              <a:ea typeface="Cambria" panose="02040503050406030204" pitchFamily="18" charset="0"/>
              <a:cs typeface="+mn-cs"/>
            </a:rPr>
            <a:t>demand</a:t>
          </a:r>
          <a:r>
            <a:rPr lang="en-IN" sz="2000" b="1" baseline="0">
              <a:solidFill>
                <a:schemeClr val="dk1"/>
              </a:solidFill>
              <a:latin typeface="Candara Light" panose="020E0502030303020204" pitchFamily="34" charset="0"/>
              <a:ea typeface="+mn-ea"/>
              <a:cs typeface="+mn-cs"/>
            </a:rPr>
            <a:t>.</a:t>
          </a:r>
          <a:endParaRPr lang="en-IN" sz="2000" b="1" baseline="0">
            <a:latin typeface="Candara Light" panose="020E0502030303020204" pitchFamily="34" charset="0"/>
          </a:endParaRPr>
        </a:p>
        <a:p>
          <a:pPr algn="l"/>
          <a:endParaRPr lang="en-IN" sz="1600" baseline="0">
            <a:latin typeface="Gill Sans MT" panose="020B0502020104020203" pitchFamily="34" charset="0"/>
          </a:endParaRPr>
        </a:p>
        <a:p>
          <a:pPr algn="l"/>
          <a:endParaRPr lang="en-IN" sz="1600" baseline="0">
            <a:latin typeface="Gill Sans MT" panose="020B0502020104020203" pitchFamily="34" charset="0"/>
          </a:endParaRPr>
        </a:p>
        <a:p>
          <a:pPr algn="l"/>
          <a:endParaRPr lang="en-IN" sz="1600">
            <a:latin typeface="Gill Sans MT" panose="020B05020201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dashboar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ood" refreshedDate="43944.159847569441" createdVersion="5" refreshedVersion="5" minRefreshableVersion="3" recordCount="36" xr:uid="{00000000-000A-0000-FFFF-FFFF00000000}">
  <cacheSource type="worksheet">
    <worksheetSource ref="A1:P37" sheet="DATA" r:id="rId2"/>
  </cacheSource>
  <cacheFields count="16">
    <cacheField name="Firm Name " numFmtId="0">
      <sharedItems count="2">
        <s v="JK Enterprise"/>
        <s v="SR Hardware"/>
      </sharedItems>
    </cacheField>
    <cacheField name="State" numFmtId="0">
      <sharedItems count="2">
        <s v="Local"/>
        <s v="INTERSTATE"/>
      </sharedItems>
    </cacheField>
    <cacheField name="Invoice No." numFmtId="0">
      <sharedItems containsSemiMixedTypes="0" containsString="0" containsNumber="1" containsInteger="1" minValue="23" maxValue="58"/>
    </cacheField>
    <cacheField name="Date" numFmtId="14">
      <sharedItems containsSemiMixedTypes="0" containsNonDate="0" containsDate="1" containsString="0" minDate="2020-04-01T00:00:00" maxDate="2021-07-04T00:00:00" count="36">
        <d v="2020-04-01T00:00:00"/>
        <d v="2020-06-04T00:00:00"/>
        <d v="2020-07-04T00:00:00"/>
        <d v="2020-05-05T00:00:00"/>
        <d v="2020-06-05T00:00:00"/>
        <d v="2020-07-05T00:00:00"/>
        <d v="2020-05-06T00:00:00"/>
        <d v="2020-06-06T00:00:00"/>
        <d v="2020-07-06T00:00:00"/>
        <d v="2020-05-07T00:00:00"/>
        <d v="2020-06-07T00:00:00"/>
        <d v="2020-07-07T00:00:00"/>
        <d v="2020-05-08T00:00:00"/>
        <d v="2020-06-08T00:00:00"/>
        <d v="2020-07-08T00:00:00"/>
        <d v="2020-05-09T00:00:00"/>
        <d v="2020-06-09T00:00:00"/>
        <d v="2020-07-09T00:00:00"/>
        <d v="2020-05-10T00:00:00"/>
        <d v="2020-06-10T00:00:00"/>
        <d v="2020-07-10T00:00:00"/>
        <d v="2020-05-11T00:00:00"/>
        <d v="2020-06-11T00:00:00"/>
        <d v="2020-07-11T00:00:00"/>
        <d v="2020-05-12T00:00:00"/>
        <d v="2020-06-12T00:00:00"/>
        <d v="2020-07-12T00:00:00"/>
        <d v="2021-05-01T00:00:00"/>
        <d v="2021-06-01T00:00:00"/>
        <d v="2021-07-01T00:00:00"/>
        <d v="2021-05-02T00:00:00"/>
        <d v="2021-06-02T00:00:00"/>
        <d v="2021-07-02T00:00:00"/>
        <d v="2021-05-03T00:00:00"/>
        <d v="2021-06-03T00:00:00"/>
        <d v="2021-07-03T00:00:00"/>
      </sharedItems>
      <fieldGroup base="3">
        <rangePr groupBy="months" startDate="2020-04-01T00:00:00" endDate="2021-07-04T00:00:00"/>
        <groupItems count="14">
          <s v="&lt;01-04-2020"/>
          <s v="Jan"/>
          <s v="Feb"/>
          <s v="Mar"/>
          <s v="Apr"/>
          <s v="May"/>
          <s v="Jun"/>
          <s v="Jul"/>
          <s v="Aug"/>
          <s v="Sep"/>
          <s v="Oct"/>
          <s v="Nov"/>
          <s v="Dec"/>
          <s v="&gt;04-07-2021"/>
        </groupItems>
      </fieldGroup>
    </cacheField>
    <cacheField name="Tax Rate" numFmtId="10">
      <sharedItems containsSemiMixedTypes="0" containsString="0" containsNumber="1" minValue="0" maxValue="0.28000000000000003" count="7">
        <n v="0.18"/>
        <n v="0.12"/>
        <n v="0.03"/>
        <n v="0"/>
        <n v="0.28000000000000003"/>
        <n v="0.05"/>
        <n v="1E-3"/>
      </sharedItems>
    </cacheField>
    <cacheField name="Description of Goods" numFmtId="0">
      <sharedItems count="2">
        <s v="Plywood 6mm"/>
        <s v="Plywood 4mm"/>
      </sharedItems>
    </cacheField>
    <cacheField name="Qty" numFmtId="0">
      <sharedItems containsSemiMixedTypes="0" containsString="0" containsNumber="1" containsInteger="1" minValue="2" maxValue="62"/>
    </cacheField>
    <cacheField name="Unit" numFmtId="10">
      <sharedItems/>
    </cacheField>
    <cacheField name="Rate" numFmtId="4">
      <sharedItems containsSemiMixedTypes="0" containsString="0" containsNumber="1" containsInteger="1" minValue="1115" maxValue="2225"/>
    </cacheField>
    <cacheField name="Taxable Value" numFmtId="4">
      <sharedItems containsSemiMixedTypes="0" containsString="0" containsNumber="1" containsInteger="1" minValue="2230" maxValue="69130"/>
    </cacheField>
    <cacheField name="IGST" numFmtId="4">
      <sharedItems containsSemiMixedTypes="0" containsString="0" containsNumber="1" minValue="0" maxValue="8429.4"/>
    </cacheField>
    <cacheField name="CGST" numFmtId="4">
      <sharedItems containsSemiMixedTypes="0" containsString="0" containsNumber="1" minValue="0" maxValue="7805.0000000000009"/>
    </cacheField>
    <cacheField name="SGST" numFmtId="4">
      <sharedItems containsSemiMixedTypes="0" containsString="0" containsNumber="1" minValue="0" maxValue="7805.0000000000009"/>
    </cacheField>
    <cacheField name="CESS" numFmtId="4">
      <sharedItems containsNonDate="0" containsString="0" containsBlank="1"/>
    </cacheField>
    <cacheField name="TOTAL" numFmtId="4">
      <sharedItems containsSemiMixedTypes="0" containsString="0" containsNumber="1" minValue="2341.5" maxValue="72586.5"/>
    </cacheField>
    <cacheField name="INVOICE VALUE" numFmtId="4">
      <sharedItems containsSemiMixedTypes="0" containsString="0" containsNumber="1" minValue="2341.5" maxValue="72586.5"/>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manna kumari" refreshedDate="46114.624908796293" createdVersion="8" refreshedVersion="8" minRefreshableVersion="3" recordCount="36" xr:uid="{2B866DC2-EC7F-4109-9A50-197A9EF3635D}">
  <cacheSource type="worksheet">
    <worksheetSource name="sales_data"/>
  </cacheSource>
  <cacheFields count="19">
    <cacheField name="Firm Name " numFmtId="0">
      <sharedItems count="2">
        <s v="JK Enterprise"/>
        <s v="SR Hardware"/>
      </sharedItems>
    </cacheField>
    <cacheField name="State" numFmtId="0">
      <sharedItems count="2">
        <s v="Local"/>
        <s v="INTERSTATE"/>
      </sharedItems>
    </cacheField>
    <cacheField name="Invoice No." numFmtId="0">
      <sharedItems containsSemiMixedTypes="0" containsString="0" containsNumber="1" containsInteger="1" minValue="23" maxValue="58"/>
    </cacheField>
    <cacheField name="Date" numFmtId="14">
      <sharedItems containsSemiMixedTypes="0" containsNonDate="0" containsDate="1" containsString="0" minDate="2020-04-01T00:00:00" maxDate="2021-07-04T00:00:00" count="36">
        <d v="2020-04-01T00:00:00"/>
        <d v="2020-06-04T00:00:00"/>
        <d v="2020-07-04T00:00:00"/>
        <d v="2020-05-05T00:00:00"/>
        <d v="2020-06-05T00:00:00"/>
        <d v="2020-07-05T00:00:00"/>
        <d v="2020-05-06T00:00:00"/>
        <d v="2020-06-06T00:00:00"/>
        <d v="2020-07-06T00:00:00"/>
        <d v="2020-05-07T00:00:00"/>
        <d v="2020-06-07T00:00:00"/>
        <d v="2020-07-07T00:00:00"/>
        <d v="2020-05-08T00:00:00"/>
        <d v="2020-06-08T00:00:00"/>
        <d v="2020-07-08T00:00:00"/>
        <d v="2020-05-09T00:00:00"/>
        <d v="2020-06-09T00:00:00"/>
        <d v="2020-07-09T00:00:00"/>
        <d v="2020-05-10T00:00:00"/>
        <d v="2020-06-10T00:00:00"/>
        <d v="2020-07-10T00:00:00"/>
        <d v="2020-05-11T00:00:00"/>
        <d v="2020-06-11T00:00:00"/>
        <d v="2020-07-11T00:00:00"/>
        <d v="2020-05-12T00:00:00"/>
        <d v="2020-06-12T00:00:00"/>
        <d v="2020-07-12T00:00:00"/>
        <d v="2021-05-01T00:00:00"/>
        <d v="2021-06-01T00:00:00"/>
        <d v="2021-07-01T00:00:00"/>
        <d v="2021-05-02T00:00:00"/>
        <d v="2021-06-02T00:00:00"/>
        <d v="2021-07-02T00:00:00"/>
        <d v="2021-05-03T00:00:00"/>
        <d v="2021-06-03T00:00:00"/>
        <d v="2021-07-03T00:00:00"/>
      </sharedItems>
      <fieldGroup par="18"/>
    </cacheField>
    <cacheField name="Tax Rate" numFmtId="10">
      <sharedItems containsSemiMixedTypes="0" containsString="0" containsNumber="1" minValue="0" maxValue="0.28000000000000003" count="7">
        <n v="0.18"/>
        <n v="0.12"/>
        <n v="0.03"/>
        <n v="0"/>
        <n v="0.28000000000000003"/>
        <n v="0.05"/>
        <n v="1E-3"/>
      </sharedItems>
    </cacheField>
    <cacheField name="Description of Goods" numFmtId="0">
      <sharedItems count="2">
        <s v="Plywood 6mm"/>
        <s v="Plywood 4mm"/>
      </sharedItems>
    </cacheField>
    <cacheField name="Qty" numFmtId="0">
      <sharedItems containsSemiMixedTypes="0" containsString="0" containsNumber="1" containsInteger="1" minValue="2" maxValue="62"/>
    </cacheField>
    <cacheField name="Unit" numFmtId="10">
      <sharedItems/>
    </cacheField>
    <cacheField name="Rate" numFmtId="4">
      <sharedItems containsSemiMixedTypes="0" containsString="0" containsNumber="1" containsInteger="1" minValue="1115" maxValue="2225" count="3">
        <n v="2225"/>
        <n v="1670"/>
        <n v="1115"/>
      </sharedItems>
    </cacheField>
    <cacheField name="Taxable Value" numFmtId="4">
      <sharedItems containsSemiMixedTypes="0" containsString="0" containsNumber="1" containsInteger="1" minValue="2230" maxValue="69130" count="24">
        <n v="17800"/>
        <n v="3340"/>
        <n v="11150"/>
        <n v="3345"/>
        <n v="4460"/>
        <n v="26760"/>
        <n v="33450"/>
        <n v="13380"/>
        <n v="18955"/>
        <n v="17840"/>
        <n v="55750"/>
        <n v="23415"/>
        <n v="27875"/>
        <n v="46830"/>
        <n v="35680"/>
        <n v="22300"/>
        <n v="50175"/>
        <n v="69130"/>
        <n v="39025"/>
        <n v="16725"/>
        <n v="5575"/>
        <n v="8920"/>
        <n v="2230"/>
        <n v="6690"/>
      </sharedItems>
    </cacheField>
    <cacheField name="IGST" numFmtId="4">
      <sharedItems containsSemiMixedTypes="0" containsString="0" containsNumber="1" minValue="0" maxValue="8429.4"/>
    </cacheField>
    <cacheField name="CGST" numFmtId="4">
      <sharedItems containsSemiMixedTypes="0" containsString="0" containsNumber="1" minValue="0" maxValue="7805.0000000000009"/>
    </cacheField>
    <cacheField name="SGST" numFmtId="4">
      <sharedItems containsSemiMixedTypes="0" containsString="0" containsNumber="1" minValue="0" maxValue="7805.0000000000009"/>
    </cacheField>
    <cacheField name="CESS" numFmtId="4">
      <sharedItems containsNonDate="0" containsString="0" containsBlank="1"/>
    </cacheField>
    <cacheField name="TOTAL" numFmtId="4">
      <sharedItems containsSemiMixedTypes="0" containsString="0" containsNumber="1" minValue="2341.5" maxValue="72586.5"/>
    </cacheField>
    <cacheField name="INVOICE VALUE" numFmtId="4">
      <sharedItems containsSemiMixedTypes="0" containsString="0" containsNumber="1" minValue="2341.5" maxValue="72586.5"/>
    </cacheField>
    <cacheField name="Months (Date)" numFmtId="0" databaseField="0">
      <fieldGroup base="3">
        <rangePr groupBy="months" startDate="2020-04-01T00:00:00" endDate="2021-07-04T00:00:00"/>
        <groupItems count="14">
          <s v="&lt;01-04-2020"/>
          <s v="Jan"/>
          <s v="Feb"/>
          <s v="Mar"/>
          <s v="Apr"/>
          <s v="May"/>
          <s v="Jun"/>
          <s v="Jul"/>
          <s v="Aug"/>
          <s v="Sep"/>
          <s v="Oct"/>
          <s v="Nov"/>
          <s v="Dec"/>
          <s v="&gt;04-07-2021"/>
        </groupItems>
      </fieldGroup>
    </cacheField>
    <cacheField name="Quarters (Date)" numFmtId="0" databaseField="0">
      <fieldGroup base="3">
        <rangePr groupBy="quarters" startDate="2020-04-01T00:00:00" endDate="2021-07-04T00:00:00"/>
        <groupItems count="6">
          <s v="&lt;01-04-2020"/>
          <s v="Qtr1"/>
          <s v="Qtr2"/>
          <s v="Qtr3"/>
          <s v="Qtr4"/>
          <s v="&gt;04-07-2021"/>
        </groupItems>
      </fieldGroup>
    </cacheField>
    <cacheField name="Years (Date)" numFmtId="0" databaseField="0">
      <fieldGroup base="3">
        <rangePr groupBy="years" startDate="2020-04-01T00:00:00" endDate="2021-07-04T00:00:00"/>
        <groupItems count="4">
          <s v="&lt;01-04-2020"/>
          <s v="2020"/>
          <s v="2021"/>
          <s v="&gt;04-07-2021"/>
        </groupItems>
      </fieldGroup>
    </cacheField>
  </cacheFields>
  <extLst>
    <ext xmlns:x14="http://schemas.microsoft.com/office/spreadsheetml/2009/9/main" uri="{725AE2AE-9491-48be-B2B4-4EB974FC3084}">
      <x14:pivotCacheDefinition pivotCacheId="17968110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23"/>
    <x v="0"/>
    <x v="0"/>
    <x v="0"/>
    <n v="8"/>
    <s v="PCS"/>
    <n v="2225"/>
    <n v="17800"/>
    <n v="0"/>
    <n v="1602"/>
    <n v="1602"/>
    <m/>
    <n v="21004"/>
    <n v="21004"/>
  </r>
  <r>
    <x v="0"/>
    <x v="0"/>
    <n v="24"/>
    <x v="1"/>
    <x v="1"/>
    <x v="1"/>
    <n v="2"/>
    <s v="PCS"/>
    <n v="1670"/>
    <n v="3340"/>
    <n v="0"/>
    <n v="200.4"/>
    <n v="200.4"/>
    <m/>
    <n v="3740.8"/>
    <n v="3740.8"/>
  </r>
  <r>
    <x v="0"/>
    <x v="0"/>
    <n v="25"/>
    <x v="2"/>
    <x v="2"/>
    <x v="0"/>
    <n v="10"/>
    <s v="PCS"/>
    <n v="1115"/>
    <n v="11150"/>
    <n v="0"/>
    <n v="167.25"/>
    <n v="167.25"/>
    <m/>
    <n v="11484.5"/>
    <n v="11484.5"/>
  </r>
  <r>
    <x v="0"/>
    <x v="1"/>
    <n v="26"/>
    <x v="3"/>
    <x v="3"/>
    <x v="1"/>
    <n v="3"/>
    <s v="PCS"/>
    <n v="1115"/>
    <n v="3345"/>
    <n v="0"/>
    <n v="0"/>
    <n v="0"/>
    <m/>
    <n v="3345"/>
    <n v="3345"/>
  </r>
  <r>
    <x v="0"/>
    <x v="0"/>
    <n v="27"/>
    <x v="4"/>
    <x v="4"/>
    <x v="0"/>
    <n v="4"/>
    <s v="PCS"/>
    <n v="1115"/>
    <n v="4460"/>
    <n v="0"/>
    <n v="624.40000000000009"/>
    <n v="624.40000000000009"/>
    <m/>
    <n v="5708.7999999999993"/>
    <n v="5708.7999999999993"/>
  </r>
  <r>
    <x v="0"/>
    <x v="0"/>
    <n v="28"/>
    <x v="5"/>
    <x v="5"/>
    <x v="1"/>
    <n v="24"/>
    <s v="PCS"/>
    <n v="1115"/>
    <n v="26760"/>
    <n v="0"/>
    <n v="669"/>
    <n v="669"/>
    <m/>
    <n v="28098"/>
    <n v="28098"/>
  </r>
  <r>
    <x v="0"/>
    <x v="0"/>
    <n v="29"/>
    <x v="6"/>
    <x v="6"/>
    <x v="0"/>
    <n v="30"/>
    <s v="PCS"/>
    <n v="1115"/>
    <n v="33450"/>
    <n v="0"/>
    <n v="16.725000000000001"/>
    <n v="16.725000000000001"/>
    <m/>
    <n v="33483.449999999997"/>
    <n v="33483.449999999997"/>
  </r>
  <r>
    <x v="0"/>
    <x v="0"/>
    <n v="30"/>
    <x v="7"/>
    <x v="2"/>
    <x v="1"/>
    <n v="12"/>
    <s v="PCS"/>
    <n v="1115"/>
    <n v="13380"/>
    <n v="0"/>
    <n v="200.7"/>
    <n v="200.7"/>
    <m/>
    <n v="13781.400000000001"/>
    <n v="13781.400000000001"/>
  </r>
  <r>
    <x v="1"/>
    <x v="0"/>
    <n v="31"/>
    <x v="8"/>
    <x v="0"/>
    <x v="0"/>
    <n v="17"/>
    <s v="PCS"/>
    <n v="1115"/>
    <n v="18955"/>
    <n v="0"/>
    <n v="1705.95"/>
    <n v="1705.95"/>
    <m/>
    <n v="22366.9"/>
    <n v="22366.9"/>
  </r>
  <r>
    <x v="1"/>
    <x v="0"/>
    <n v="32"/>
    <x v="9"/>
    <x v="6"/>
    <x v="1"/>
    <n v="16"/>
    <s v="PCS"/>
    <n v="1115"/>
    <n v="17840"/>
    <n v="0"/>
    <n v="8.92"/>
    <n v="8.92"/>
    <m/>
    <n v="17857.839999999997"/>
    <n v="17857.839999999997"/>
  </r>
  <r>
    <x v="1"/>
    <x v="0"/>
    <n v="33"/>
    <x v="10"/>
    <x v="4"/>
    <x v="0"/>
    <n v="50"/>
    <s v="PCS"/>
    <n v="1115"/>
    <n v="55750"/>
    <n v="0"/>
    <n v="7805.0000000000009"/>
    <n v="7805.0000000000009"/>
    <m/>
    <n v="71360"/>
    <n v="71360"/>
  </r>
  <r>
    <x v="1"/>
    <x v="0"/>
    <n v="34"/>
    <x v="11"/>
    <x v="3"/>
    <x v="1"/>
    <n v="21"/>
    <s v="PCS"/>
    <n v="1115"/>
    <n v="23415"/>
    <n v="0"/>
    <n v="0"/>
    <n v="0"/>
    <m/>
    <n v="23415"/>
    <n v="23415"/>
  </r>
  <r>
    <x v="0"/>
    <x v="1"/>
    <n v="35"/>
    <x v="12"/>
    <x v="5"/>
    <x v="0"/>
    <n v="25"/>
    <s v="PCS"/>
    <n v="1115"/>
    <n v="27875"/>
    <n v="1393.75"/>
    <n v="0"/>
    <n v="0"/>
    <m/>
    <n v="29268.75"/>
    <n v="29268.75"/>
  </r>
  <r>
    <x v="0"/>
    <x v="1"/>
    <n v="36"/>
    <x v="13"/>
    <x v="0"/>
    <x v="1"/>
    <n v="42"/>
    <s v="PCS"/>
    <n v="1115"/>
    <n v="46830"/>
    <n v="8429.4"/>
    <n v="0"/>
    <n v="0"/>
    <m/>
    <n v="55259.4"/>
    <n v="55259.4"/>
  </r>
  <r>
    <x v="0"/>
    <x v="0"/>
    <n v="37"/>
    <x v="14"/>
    <x v="6"/>
    <x v="0"/>
    <n v="32"/>
    <s v="PCS"/>
    <n v="1115"/>
    <n v="35680"/>
    <n v="0"/>
    <n v="17.84"/>
    <n v="17.84"/>
    <m/>
    <n v="35715.679999999993"/>
    <n v="35715.679999999993"/>
  </r>
  <r>
    <x v="0"/>
    <x v="0"/>
    <n v="38"/>
    <x v="15"/>
    <x v="3"/>
    <x v="1"/>
    <n v="10"/>
    <s v="PCS"/>
    <n v="1115"/>
    <n v="11150"/>
    <n v="0"/>
    <n v="0"/>
    <n v="0"/>
    <m/>
    <n v="11150"/>
    <n v="11150"/>
  </r>
  <r>
    <x v="0"/>
    <x v="0"/>
    <n v="39"/>
    <x v="16"/>
    <x v="4"/>
    <x v="0"/>
    <n v="20"/>
    <s v="PCS"/>
    <n v="1115"/>
    <n v="22300"/>
    <n v="0"/>
    <n v="3122.0000000000005"/>
    <n v="3122.0000000000005"/>
    <m/>
    <n v="28544"/>
    <n v="28544"/>
  </r>
  <r>
    <x v="1"/>
    <x v="0"/>
    <n v="40"/>
    <x v="17"/>
    <x v="1"/>
    <x v="1"/>
    <n v="30"/>
    <s v="PCS"/>
    <n v="1115"/>
    <n v="33450"/>
    <n v="0"/>
    <n v="2007"/>
    <n v="2007"/>
    <m/>
    <n v="37464"/>
    <n v="37464"/>
  </r>
  <r>
    <x v="1"/>
    <x v="1"/>
    <n v="41"/>
    <x v="18"/>
    <x v="2"/>
    <x v="0"/>
    <n v="45"/>
    <s v="PCS"/>
    <n v="1115"/>
    <n v="50175"/>
    <n v="1505.25"/>
    <n v="0"/>
    <n v="0"/>
    <m/>
    <n v="51680.25"/>
    <n v="51680.25"/>
  </r>
  <r>
    <x v="1"/>
    <x v="0"/>
    <n v="42"/>
    <x v="19"/>
    <x v="5"/>
    <x v="1"/>
    <n v="62"/>
    <s v="PCS"/>
    <n v="1115"/>
    <n v="69130"/>
    <n v="0"/>
    <n v="1728.25"/>
    <n v="1728.25"/>
    <m/>
    <n v="72586.5"/>
    <n v="72586.5"/>
  </r>
  <r>
    <x v="1"/>
    <x v="0"/>
    <n v="43"/>
    <x v="20"/>
    <x v="3"/>
    <x v="0"/>
    <n v="12"/>
    <s v="PCS"/>
    <n v="1115"/>
    <n v="13380"/>
    <n v="0"/>
    <n v="0"/>
    <n v="0"/>
    <m/>
    <n v="13380"/>
    <n v="13380"/>
  </r>
  <r>
    <x v="1"/>
    <x v="0"/>
    <n v="44"/>
    <x v="21"/>
    <x v="3"/>
    <x v="1"/>
    <n v="25"/>
    <s v="PCS"/>
    <n v="1115"/>
    <n v="27875"/>
    <n v="0"/>
    <n v="0"/>
    <n v="0"/>
    <m/>
    <n v="27875"/>
    <n v="27875"/>
  </r>
  <r>
    <x v="1"/>
    <x v="0"/>
    <n v="45"/>
    <x v="22"/>
    <x v="1"/>
    <x v="0"/>
    <n v="45"/>
    <s v="PCS"/>
    <n v="1115"/>
    <n v="50175"/>
    <n v="0"/>
    <n v="3010.5"/>
    <n v="3010.5"/>
    <m/>
    <n v="56196"/>
    <n v="56196"/>
  </r>
  <r>
    <x v="1"/>
    <x v="0"/>
    <n v="46"/>
    <x v="23"/>
    <x v="1"/>
    <x v="1"/>
    <n v="20"/>
    <s v="PCS"/>
    <n v="1115"/>
    <n v="22300"/>
    <n v="0"/>
    <n v="1338"/>
    <n v="1338"/>
    <m/>
    <n v="24976"/>
    <n v="24976"/>
  </r>
  <r>
    <x v="1"/>
    <x v="0"/>
    <n v="47"/>
    <x v="24"/>
    <x v="2"/>
    <x v="0"/>
    <n v="10"/>
    <s v="PCS"/>
    <n v="1115"/>
    <n v="11150"/>
    <n v="0"/>
    <n v="167.25"/>
    <n v="167.25"/>
    <m/>
    <n v="11484.5"/>
    <n v="11484.5"/>
  </r>
  <r>
    <x v="0"/>
    <x v="0"/>
    <n v="48"/>
    <x v="25"/>
    <x v="4"/>
    <x v="1"/>
    <n v="35"/>
    <s v="PCS"/>
    <n v="1115"/>
    <n v="39025"/>
    <n v="0"/>
    <n v="5463.5000000000009"/>
    <n v="5463.5000000000009"/>
    <m/>
    <n v="49952"/>
    <n v="49952"/>
  </r>
  <r>
    <x v="0"/>
    <x v="0"/>
    <n v="49"/>
    <x v="26"/>
    <x v="1"/>
    <x v="0"/>
    <n v="15"/>
    <s v="PCS"/>
    <n v="1115"/>
    <n v="16725"/>
    <n v="0"/>
    <n v="1003.5"/>
    <n v="1003.5"/>
    <m/>
    <n v="18732"/>
    <n v="18732"/>
  </r>
  <r>
    <x v="0"/>
    <x v="0"/>
    <n v="50"/>
    <x v="27"/>
    <x v="2"/>
    <x v="1"/>
    <n v="25"/>
    <s v="PCS"/>
    <n v="1115"/>
    <n v="27875"/>
    <n v="0"/>
    <n v="418.125"/>
    <n v="418.125"/>
    <m/>
    <n v="28711.25"/>
    <n v="28711.25"/>
  </r>
  <r>
    <x v="0"/>
    <x v="0"/>
    <n v="51"/>
    <x v="28"/>
    <x v="4"/>
    <x v="0"/>
    <n v="10"/>
    <s v="PCS"/>
    <n v="1115"/>
    <n v="11150"/>
    <n v="0"/>
    <n v="1561.0000000000002"/>
    <n v="1561.0000000000002"/>
    <m/>
    <n v="14272"/>
    <n v="14272"/>
  </r>
  <r>
    <x v="0"/>
    <x v="0"/>
    <n v="52"/>
    <x v="29"/>
    <x v="5"/>
    <x v="1"/>
    <n v="5"/>
    <s v="PCS"/>
    <n v="1115"/>
    <n v="5575"/>
    <n v="0"/>
    <n v="139.375"/>
    <n v="139.375"/>
    <m/>
    <n v="5853.75"/>
    <n v="5853.75"/>
  </r>
  <r>
    <x v="1"/>
    <x v="0"/>
    <n v="53"/>
    <x v="30"/>
    <x v="2"/>
    <x v="0"/>
    <n v="8"/>
    <s v="PCS"/>
    <n v="1115"/>
    <n v="8920"/>
    <n v="0"/>
    <n v="133.79999999999998"/>
    <n v="133.79999999999998"/>
    <m/>
    <n v="9187.5999999999985"/>
    <n v="9187.5999999999985"/>
  </r>
  <r>
    <x v="1"/>
    <x v="0"/>
    <n v="54"/>
    <x v="31"/>
    <x v="5"/>
    <x v="1"/>
    <n v="10"/>
    <s v="PCS"/>
    <n v="1115"/>
    <n v="11150"/>
    <n v="0"/>
    <n v="278.75"/>
    <n v="278.75"/>
    <m/>
    <n v="11707.5"/>
    <n v="11707.5"/>
  </r>
  <r>
    <x v="1"/>
    <x v="0"/>
    <n v="55"/>
    <x v="32"/>
    <x v="5"/>
    <x v="0"/>
    <n v="2"/>
    <s v="PCS"/>
    <n v="1115"/>
    <n v="2230"/>
    <n v="0"/>
    <n v="55.75"/>
    <n v="55.75"/>
    <m/>
    <n v="2341.5"/>
    <n v="2341.5"/>
  </r>
  <r>
    <x v="1"/>
    <x v="0"/>
    <n v="56"/>
    <x v="33"/>
    <x v="4"/>
    <x v="1"/>
    <n v="4"/>
    <s v="PCS"/>
    <n v="1115"/>
    <n v="4460"/>
    <n v="0"/>
    <n v="624.40000000000009"/>
    <n v="624.40000000000009"/>
    <m/>
    <n v="5708.7999999999993"/>
    <n v="5708.7999999999993"/>
  </r>
  <r>
    <x v="0"/>
    <x v="0"/>
    <n v="57"/>
    <x v="34"/>
    <x v="6"/>
    <x v="0"/>
    <n v="6"/>
    <s v="PCS"/>
    <n v="1115"/>
    <n v="6690"/>
    <n v="0"/>
    <n v="3.3450000000000002"/>
    <n v="3.3450000000000002"/>
    <m/>
    <n v="6696.6900000000005"/>
    <n v="6696.6900000000005"/>
  </r>
  <r>
    <x v="0"/>
    <x v="0"/>
    <n v="58"/>
    <x v="35"/>
    <x v="3"/>
    <x v="1"/>
    <n v="5"/>
    <s v="PCS"/>
    <n v="1115"/>
    <n v="5575"/>
    <n v="0"/>
    <n v="0"/>
    <n v="0"/>
    <m/>
    <n v="5575"/>
    <n v="557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23"/>
    <x v="0"/>
    <x v="0"/>
    <x v="0"/>
    <n v="8"/>
    <s v="PCS"/>
    <x v="0"/>
    <x v="0"/>
    <n v="0"/>
    <n v="1602"/>
    <n v="1602"/>
    <m/>
    <n v="21004"/>
    <n v="21004"/>
  </r>
  <r>
    <x v="0"/>
    <x v="0"/>
    <n v="24"/>
    <x v="1"/>
    <x v="1"/>
    <x v="1"/>
    <n v="2"/>
    <s v="PCS"/>
    <x v="1"/>
    <x v="1"/>
    <n v="0"/>
    <n v="200.4"/>
    <n v="200.4"/>
    <m/>
    <n v="3740.8"/>
    <n v="3740.8"/>
  </r>
  <r>
    <x v="0"/>
    <x v="0"/>
    <n v="25"/>
    <x v="2"/>
    <x v="2"/>
    <x v="0"/>
    <n v="10"/>
    <s v="PCS"/>
    <x v="2"/>
    <x v="2"/>
    <n v="0"/>
    <n v="167.25"/>
    <n v="167.25"/>
    <m/>
    <n v="11484.5"/>
    <n v="11484.5"/>
  </r>
  <r>
    <x v="0"/>
    <x v="1"/>
    <n v="26"/>
    <x v="3"/>
    <x v="3"/>
    <x v="1"/>
    <n v="3"/>
    <s v="PCS"/>
    <x v="2"/>
    <x v="3"/>
    <n v="0"/>
    <n v="0"/>
    <n v="0"/>
    <m/>
    <n v="3345"/>
    <n v="3345"/>
  </r>
  <r>
    <x v="0"/>
    <x v="0"/>
    <n v="27"/>
    <x v="4"/>
    <x v="4"/>
    <x v="0"/>
    <n v="4"/>
    <s v="PCS"/>
    <x v="2"/>
    <x v="4"/>
    <n v="0"/>
    <n v="624.40000000000009"/>
    <n v="624.40000000000009"/>
    <m/>
    <n v="5708.7999999999993"/>
    <n v="5708.7999999999993"/>
  </r>
  <r>
    <x v="0"/>
    <x v="0"/>
    <n v="28"/>
    <x v="5"/>
    <x v="5"/>
    <x v="1"/>
    <n v="24"/>
    <s v="PCS"/>
    <x v="2"/>
    <x v="5"/>
    <n v="0"/>
    <n v="669"/>
    <n v="669"/>
    <m/>
    <n v="28098"/>
    <n v="28098"/>
  </r>
  <r>
    <x v="0"/>
    <x v="0"/>
    <n v="29"/>
    <x v="6"/>
    <x v="6"/>
    <x v="0"/>
    <n v="30"/>
    <s v="PCS"/>
    <x v="2"/>
    <x v="6"/>
    <n v="0"/>
    <n v="16.725000000000001"/>
    <n v="16.725000000000001"/>
    <m/>
    <n v="33483.449999999997"/>
    <n v="33483.449999999997"/>
  </r>
  <r>
    <x v="0"/>
    <x v="0"/>
    <n v="30"/>
    <x v="7"/>
    <x v="2"/>
    <x v="1"/>
    <n v="12"/>
    <s v="PCS"/>
    <x v="2"/>
    <x v="7"/>
    <n v="0"/>
    <n v="200.7"/>
    <n v="200.7"/>
    <m/>
    <n v="13781.400000000001"/>
    <n v="13781.400000000001"/>
  </r>
  <r>
    <x v="1"/>
    <x v="0"/>
    <n v="31"/>
    <x v="8"/>
    <x v="0"/>
    <x v="0"/>
    <n v="17"/>
    <s v="PCS"/>
    <x v="2"/>
    <x v="8"/>
    <n v="0"/>
    <n v="1705.95"/>
    <n v="1705.95"/>
    <m/>
    <n v="22366.9"/>
    <n v="22366.9"/>
  </r>
  <r>
    <x v="1"/>
    <x v="0"/>
    <n v="32"/>
    <x v="9"/>
    <x v="6"/>
    <x v="1"/>
    <n v="16"/>
    <s v="PCS"/>
    <x v="2"/>
    <x v="9"/>
    <n v="0"/>
    <n v="8.92"/>
    <n v="8.92"/>
    <m/>
    <n v="17857.839999999997"/>
    <n v="17857.839999999997"/>
  </r>
  <r>
    <x v="1"/>
    <x v="0"/>
    <n v="33"/>
    <x v="10"/>
    <x v="4"/>
    <x v="0"/>
    <n v="50"/>
    <s v="PCS"/>
    <x v="2"/>
    <x v="10"/>
    <n v="0"/>
    <n v="7805.0000000000009"/>
    <n v="7805.0000000000009"/>
    <m/>
    <n v="71360"/>
    <n v="71360"/>
  </r>
  <r>
    <x v="1"/>
    <x v="0"/>
    <n v="34"/>
    <x v="11"/>
    <x v="3"/>
    <x v="1"/>
    <n v="21"/>
    <s v="PCS"/>
    <x v="2"/>
    <x v="11"/>
    <n v="0"/>
    <n v="0"/>
    <n v="0"/>
    <m/>
    <n v="23415"/>
    <n v="23415"/>
  </r>
  <r>
    <x v="0"/>
    <x v="1"/>
    <n v="35"/>
    <x v="12"/>
    <x v="5"/>
    <x v="0"/>
    <n v="25"/>
    <s v="PCS"/>
    <x v="2"/>
    <x v="12"/>
    <n v="1393.75"/>
    <n v="0"/>
    <n v="0"/>
    <m/>
    <n v="29268.75"/>
    <n v="29268.75"/>
  </r>
  <r>
    <x v="0"/>
    <x v="1"/>
    <n v="36"/>
    <x v="13"/>
    <x v="0"/>
    <x v="1"/>
    <n v="42"/>
    <s v="PCS"/>
    <x v="2"/>
    <x v="13"/>
    <n v="8429.4"/>
    <n v="0"/>
    <n v="0"/>
    <m/>
    <n v="55259.4"/>
    <n v="55259.4"/>
  </r>
  <r>
    <x v="0"/>
    <x v="0"/>
    <n v="37"/>
    <x v="14"/>
    <x v="6"/>
    <x v="0"/>
    <n v="32"/>
    <s v="PCS"/>
    <x v="2"/>
    <x v="14"/>
    <n v="0"/>
    <n v="17.84"/>
    <n v="17.84"/>
    <m/>
    <n v="35715.679999999993"/>
    <n v="35715.679999999993"/>
  </r>
  <r>
    <x v="0"/>
    <x v="0"/>
    <n v="38"/>
    <x v="15"/>
    <x v="3"/>
    <x v="1"/>
    <n v="10"/>
    <s v="PCS"/>
    <x v="2"/>
    <x v="2"/>
    <n v="0"/>
    <n v="0"/>
    <n v="0"/>
    <m/>
    <n v="11150"/>
    <n v="11150"/>
  </r>
  <r>
    <x v="0"/>
    <x v="0"/>
    <n v="39"/>
    <x v="16"/>
    <x v="4"/>
    <x v="0"/>
    <n v="20"/>
    <s v="PCS"/>
    <x v="2"/>
    <x v="15"/>
    <n v="0"/>
    <n v="3122.0000000000005"/>
    <n v="3122.0000000000005"/>
    <m/>
    <n v="28544"/>
    <n v="28544"/>
  </r>
  <r>
    <x v="1"/>
    <x v="0"/>
    <n v="40"/>
    <x v="17"/>
    <x v="1"/>
    <x v="1"/>
    <n v="30"/>
    <s v="PCS"/>
    <x v="2"/>
    <x v="6"/>
    <n v="0"/>
    <n v="2007"/>
    <n v="2007"/>
    <m/>
    <n v="37464"/>
    <n v="37464"/>
  </r>
  <r>
    <x v="1"/>
    <x v="1"/>
    <n v="41"/>
    <x v="18"/>
    <x v="2"/>
    <x v="0"/>
    <n v="45"/>
    <s v="PCS"/>
    <x v="2"/>
    <x v="16"/>
    <n v="1505.25"/>
    <n v="0"/>
    <n v="0"/>
    <m/>
    <n v="51680.25"/>
    <n v="51680.25"/>
  </r>
  <r>
    <x v="1"/>
    <x v="0"/>
    <n v="42"/>
    <x v="19"/>
    <x v="5"/>
    <x v="1"/>
    <n v="62"/>
    <s v="PCS"/>
    <x v="2"/>
    <x v="17"/>
    <n v="0"/>
    <n v="1728.25"/>
    <n v="1728.25"/>
    <m/>
    <n v="72586.5"/>
    <n v="72586.5"/>
  </r>
  <r>
    <x v="1"/>
    <x v="0"/>
    <n v="43"/>
    <x v="20"/>
    <x v="3"/>
    <x v="0"/>
    <n v="12"/>
    <s v="PCS"/>
    <x v="2"/>
    <x v="7"/>
    <n v="0"/>
    <n v="0"/>
    <n v="0"/>
    <m/>
    <n v="13380"/>
    <n v="13380"/>
  </r>
  <r>
    <x v="1"/>
    <x v="0"/>
    <n v="44"/>
    <x v="21"/>
    <x v="3"/>
    <x v="1"/>
    <n v="25"/>
    <s v="PCS"/>
    <x v="2"/>
    <x v="12"/>
    <n v="0"/>
    <n v="0"/>
    <n v="0"/>
    <m/>
    <n v="27875"/>
    <n v="27875"/>
  </r>
  <r>
    <x v="1"/>
    <x v="0"/>
    <n v="45"/>
    <x v="22"/>
    <x v="1"/>
    <x v="0"/>
    <n v="45"/>
    <s v="PCS"/>
    <x v="2"/>
    <x v="16"/>
    <n v="0"/>
    <n v="3010.5"/>
    <n v="3010.5"/>
    <m/>
    <n v="56196"/>
    <n v="56196"/>
  </r>
  <r>
    <x v="1"/>
    <x v="0"/>
    <n v="46"/>
    <x v="23"/>
    <x v="1"/>
    <x v="1"/>
    <n v="20"/>
    <s v="PCS"/>
    <x v="2"/>
    <x v="15"/>
    <n v="0"/>
    <n v="1338"/>
    <n v="1338"/>
    <m/>
    <n v="24976"/>
    <n v="24976"/>
  </r>
  <r>
    <x v="1"/>
    <x v="0"/>
    <n v="47"/>
    <x v="24"/>
    <x v="2"/>
    <x v="0"/>
    <n v="10"/>
    <s v="PCS"/>
    <x v="2"/>
    <x v="2"/>
    <n v="0"/>
    <n v="167.25"/>
    <n v="167.25"/>
    <m/>
    <n v="11484.5"/>
    <n v="11484.5"/>
  </r>
  <r>
    <x v="0"/>
    <x v="0"/>
    <n v="48"/>
    <x v="25"/>
    <x v="4"/>
    <x v="1"/>
    <n v="35"/>
    <s v="PCS"/>
    <x v="2"/>
    <x v="18"/>
    <n v="0"/>
    <n v="5463.5000000000009"/>
    <n v="5463.5000000000009"/>
    <m/>
    <n v="49952"/>
    <n v="49952"/>
  </r>
  <r>
    <x v="0"/>
    <x v="0"/>
    <n v="49"/>
    <x v="26"/>
    <x v="1"/>
    <x v="0"/>
    <n v="15"/>
    <s v="PCS"/>
    <x v="2"/>
    <x v="19"/>
    <n v="0"/>
    <n v="1003.5"/>
    <n v="1003.5"/>
    <m/>
    <n v="18732"/>
    <n v="18732"/>
  </r>
  <r>
    <x v="0"/>
    <x v="0"/>
    <n v="50"/>
    <x v="27"/>
    <x v="2"/>
    <x v="1"/>
    <n v="25"/>
    <s v="PCS"/>
    <x v="2"/>
    <x v="12"/>
    <n v="0"/>
    <n v="418.125"/>
    <n v="418.125"/>
    <m/>
    <n v="28711.25"/>
    <n v="28711.25"/>
  </r>
  <r>
    <x v="0"/>
    <x v="0"/>
    <n v="51"/>
    <x v="28"/>
    <x v="4"/>
    <x v="0"/>
    <n v="10"/>
    <s v="PCS"/>
    <x v="2"/>
    <x v="2"/>
    <n v="0"/>
    <n v="1561.0000000000002"/>
    <n v="1561.0000000000002"/>
    <m/>
    <n v="14272"/>
    <n v="14272"/>
  </r>
  <r>
    <x v="0"/>
    <x v="0"/>
    <n v="52"/>
    <x v="29"/>
    <x v="5"/>
    <x v="1"/>
    <n v="5"/>
    <s v="PCS"/>
    <x v="2"/>
    <x v="20"/>
    <n v="0"/>
    <n v="139.375"/>
    <n v="139.375"/>
    <m/>
    <n v="5853.75"/>
    <n v="5853.75"/>
  </r>
  <r>
    <x v="1"/>
    <x v="0"/>
    <n v="53"/>
    <x v="30"/>
    <x v="2"/>
    <x v="0"/>
    <n v="8"/>
    <s v="PCS"/>
    <x v="2"/>
    <x v="21"/>
    <n v="0"/>
    <n v="133.79999999999998"/>
    <n v="133.79999999999998"/>
    <m/>
    <n v="9187.5999999999985"/>
    <n v="9187.5999999999985"/>
  </r>
  <r>
    <x v="1"/>
    <x v="0"/>
    <n v="54"/>
    <x v="31"/>
    <x v="5"/>
    <x v="1"/>
    <n v="10"/>
    <s v="PCS"/>
    <x v="2"/>
    <x v="2"/>
    <n v="0"/>
    <n v="278.75"/>
    <n v="278.75"/>
    <m/>
    <n v="11707.5"/>
    <n v="11707.5"/>
  </r>
  <r>
    <x v="1"/>
    <x v="0"/>
    <n v="55"/>
    <x v="32"/>
    <x v="5"/>
    <x v="0"/>
    <n v="2"/>
    <s v="PCS"/>
    <x v="2"/>
    <x v="22"/>
    <n v="0"/>
    <n v="55.75"/>
    <n v="55.75"/>
    <m/>
    <n v="2341.5"/>
    <n v="2341.5"/>
  </r>
  <r>
    <x v="1"/>
    <x v="0"/>
    <n v="56"/>
    <x v="33"/>
    <x v="4"/>
    <x v="1"/>
    <n v="4"/>
    <s v="PCS"/>
    <x v="2"/>
    <x v="4"/>
    <n v="0"/>
    <n v="624.40000000000009"/>
    <n v="624.40000000000009"/>
    <m/>
    <n v="5708.7999999999993"/>
    <n v="5708.7999999999993"/>
  </r>
  <r>
    <x v="0"/>
    <x v="0"/>
    <n v="57"/>
    <x v="34"/>
    <x v="6"/>
    <x v="0"/>
    <n v="6"/>
    <s v="PCS"/>
    <x v="2"/>
    <x v="23"/>
    <n v="0"/>
    <n v="3.3450000000000002"/>
    <n v="3.3450000000000002"/>
    <m/>
    <n v="6696.6900000000005"/>
    <n v="6696.6900000000005"/>
  </r>
  <r>
    <x v="0"/>
    <x v="0"/>
    <n v="58"/>
    <x v="35"/>
    <x v="3"/>
    <x v="1"/>
    <n v="5"/>
    <s v="PCS"/>
    <x v="2"/>
    <x v="20"/>
    <n v="0"/>
    <n v="0"/>
    <n v="0"/>
    <m/>
    <n v="5575"/>
    <n v="55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T_FIRM"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3">
  <location ref="A3:B6" firstHeaderRow="1" firstDataRow="1" firstDataCol="1"/>
  <pivotFields count="16">
    <pivotField axis="axisRow"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0"/>
  </rowFields>
  <rowItems count="3">
    <i>
      <x/>
    </i>
    <i>
      <x v="1"/>
    </i>
    <i t="grand">
      <x/>
    </i>
  </rowItems>
  <colItems count="1">
    <i/>
  </colItems>
  <dataFields count="1">
    <dataField name="Sum of TOTAL"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T_MTH"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4">
  <location ref="A3:B8" firstHeaderRow="1" firstDataRow="1" firstDataCol="1"/>
  <pivotFields count="16">
    <pivotField showAll="0">
      <items count="3">
        <item x="0"/>
        <item x="1"/>
        <item t="default"/>
      </items>
    </pivotField>
    <pivotField showAll="0">
      <items count="3">
        <item x="1"/>
        <item x="0"/>
        <item t="default"/>
      </items>
    </pivotField>
    <pivotField showAll="0"/>
    <pivotField axis="axisRow"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3"/>
  </rowFields>
  <rowItems count="5">
    <i>
      <x v="4"/>
    </i>
    <i>
      <x v="5"/>
    </i>
    <i>
      <x v="6"/>
    </i>
    <i>
      <x v="7"/>
    </i>
    <i t="grand">
      <x/>
    </i>
  </rowItems>
  <colItems count="1">
    <i/>
  </colItems>
  <dataFields count="1">
    <dataField name="Sum of TOTAL" fld="14"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T_TAX"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5">
  <location ref="A3:F11" firstHeaderRow="0" firstDataRow="1" firstDataCol="1"/>
  <pivotFields count="16">
    <pivotField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axis="axisRow"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dataField="1" numFmtId="4" showAll="0"/>
    <pivotField dataField="1" numFmtId="4" showAll="0"/>
    <pivotField dataField="1" numFmtId="4" showAll="0"/>
    <pivotField dataField="1" showAll="0"/>
    <pivotField dataField="1" numFmtId="4" showAll="0"/>
    <pivotField numFmtId="4" showAll="0"/>
  </pivotFields>
  <rowFields count="1">
    <field x="4"/>
  </rowFields>
  <rowItems count="8">
    <i>
      <x/>
    </i>
    <i>
      <x v="1"/>
    </i>
    <i>
      <x v="2"/>
    </i>
    <i>
      <x v="3"/>
    </i>
    <i>
      <x v="4"/>
    </i>
    <i>
      <x v="5"/>
    </i>
    <i>
      <x v="6"/>
    </i>
    <i t="grand">
      <x/>
    </i>
  </rowItems>
  <colFields count="1">
    <field x="-2"/>
  </colFields>
  <colItems count="5">
    <i>
      <x/>
    </i>
    <i i="1">
      <x v="1"/>
    </i>
    <i i="2">
      <x v="2"/>
    </i>
    <i i="3">
      <x v="3"/>
    </i>
    <i i="4">
      <x v="4"/>
    </i>
  </colItems>
  <dataFields count="5">
    <dataField name="Sum of IGST" fld="10" baseField="0" baseItem="0"/>
    <dataField name="Sum of CGST" fld="11" baseField="0" baseItem="0"/>
    <dataField name="Sum of SGST" fld="12" baseField="0" baseItem="0"/>
    <dataField name="Count of CESS" fld="13" subtotal="count" baseField="0" baseItem="0"/>
    <dataField name="Sum of TOTAL" fld="14" baseField="0" baseItem="0"/>
  </dataFields>
  <chartFormats count="5">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2"/>
          </reference>
        </references>
      </pivotArea>
    </chartFormat>
    <chartFormat chart="3" format="8" series="1">
      <pivotArea type="data" outline="0" fieldPosition="0">
        <references count="1">
          <reference field="4294967294" count="1" selected="0">
            <x v="3"/>
          </reference>
        </references>
      </pivotArea>
    </chartFormat>
    <chartFormat chart="3" format="9"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T_PRODUCT"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4">
  <location ref="A3:B6" firstHeaderRow="1" firstDataRow="1" firstDataCol="1"/>
  <pivotFields count="16">
    <pivotField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axis="axisRow"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5"/>
  </rowFields>
  <rowItems count="3">
    <i>
      <x/>
    </i>
    <i>
      <x v="1"/>
    </i>
    <i t="grand">
      <x/>
    </i>
  </rowItems>
  <colItems count="1">
    <i/>
  </colItems>
  <dataFields count="1">
    <dataField name="Sum of TOTAL" fld="14"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5" count="1" selected="0">
            <x v="0"/>
          </reference>
        </references>
      </pivotArea>
    </chartFormat>
    <chartFormat chart="2"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2A90FD-1D5A-4F52-B1FA-0E8004E3942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roduct">
  <location ref="H4:I7" firstHeaderRow="1" firstDataRow="1" firstDataCol="1"/>
  <pivotFields count="19">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name="Pt_product" axis="axisRow"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5"/>
  </rowFields>
  <rowItems count="3">
    <i>
      <x/>
    </i>
    <i>
      <x v="1"/>
    </i>
    <i t="grand">
      <x/>
    </i>
  </rowItems>
  <colItems count="1">
    <i/>
  </colItems>
  <dataFields count="1">
    <dataField name="Product_Sale" fld="14" baseField="0" baseItem="0" numFmtId="4"/>
  </dataFields>
  <formats count="2">
    <format dxfId="399">
      <pivotArea outline="0" collapsedLevelsAreSubtotals="1" fieldPosition="0"/>
    </format>
    <format dxfId="398">
      <pivotArea dataOnly="0" labelOnly="1" outline="0" axis="axisValues" fieldPosition="0"/>
    </format>
  </formats>
  <chartFormats count="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BC5B28-E2AF-46D2-B730-F7FE2B81F47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Tax">
  <location ref="F14:J22" firstHeaderRow="0" firstDataRow="1" firstDataCol="1"/>
  <pivotFields count="19">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ame="Pt_tax" axis="axisRow" numFmtId="10" showAll="0">
      <items count="8">
        <item x="3"/>
        <item x="6"/>
        <item x="2"/>
        <item x="5"/>
        <item x="1"/>
        <item x="0"/>
        <item x="4"/>
        <item t="default"/>
      </items>
    </pivotField>
    <pivotField showAll="0">
      <items count="3">
        <item x="1"/>
        <item x="0"/>
        <item t="default"/>
      </items>
    </pivotField>
    <pivotField showAll="0"/>
    <pivotField showAll="0"/>
    <pivotField numFmtId="4" showAll="0">
      <items count="4">
        <item x="2"/>
        <item x="1"/>
        <item x="0"/>
        <item t="default"/>
      </items>
    </pivotField>
    <pivotField numFmtId="4" showAll="0">
      <items count="25">
        <item x="22"/>
        <item x="1"/>
        <item x="3"/>
        <item x="4"/>
        <item x="20"/>
        <item x="23"/>
        <item x="21"/>
        <item x="2"/>
        <item x="7"/>
        <item x="19"/>
        <item x="0"/>
        <item x="9"/>
        <item x="8"/>
        <item x="15"/>
        <item x="11"/>
        <item x="5"/>
        <item x="12"/>
        <item x="6"/>
        <item x="14"/>
        <item x="18"/>
        <item x="13"/>
        <item x="16"/>
        <item x="10"/>
        <item x="17"/>
        <item t="default"/>
      </items>
    </pivotField>
    <pivotField dataField="1" numFmtId="4" showAll="0"/>
    <pivotField dataField="1" numFmtId="4" showAll="0"/>
    <pivotField dataField="1" numFmtId="4" showAll="0"/>
    <pivotField showAll="0"/>
    <pivotField dataField="1" numFmtId="4" showAll="0"/>
    <pivotField numFmtId="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4"/>
  </rowFields>
  <rowItems count="8">
    <i>
      <x/>
    </i>
    <i>
      <x v="1"/>
    </i>
    <i>
      <x v="2"/>
    </i>
    <i>
      <x v="3"/>
    </i>
    <i>
      <x v="4"/>
    </i>
    <i>
      <x v="5"/>
    </i>
    <i>
      <x v="6"/>
    </i>
    <i t="grand">
      <x/>
    </i>
  </rowItems>
  <colFields count="1">
    <field x="-2"/>
  </colFields>
  <colItems count="4">
    <i>
      <x/>
    </i>
    <i i="1">
      <x v="1"/>
    </i>
    <i i="2">
      <x v="2"/>
    </i>
    <i i="3">
      <x v="3"/>
    </i>
  </colItems>
  <dataFields count="4">
    <dataField name="Sum of IGST" fld="10" baseField="0" baseItem="0" numFmtId="4"/>
    <dataField name="Sum of CGST" fld="11" baseField="0" baseItem="0" numFmtId="4"/>
    <dataField name="Sum of SGST" fld="12" baseField="0" baseItem="0" numFmtId="4"/>
    <dataField name="Sum of TOTAL" fld="14" baseField="0" baseItem="0" numFmtId="4"/>
  </dataFields>
  <formats count="2">
    <format dxfId="401">
      <pivotArea outline="0" collapsedLevelsAreSubtotals="1" fieldPosition="0"/>
    </format>
    <format dxfId="400">
      <pivotArea dataOnly="0" labelOnly="1" outline="0" fieldPosition="0">
        <references count="1">
          <reference field="4294967294" count="4">
            <x v="0"/>
            <x v="1"/>
            <x v="2"/>
            <x v="3"/>
          </reference>
        </references>
      </pivotArea>
    </format>
  </formats>
  <chartFormats count="4">
    <chartFormat chart="9" format="16" series="1">
      <pivotArea type="data" outline="0" fieldPosition="0">
        <references count="1">
          <reference field="4294967294" count="1" selected="0">
            <x v="0"/>
          </reference>
        </references>
      </pivotArea>
    </chartFormat>
    <chartFormat chart="9" format="17" series="1">
      <pivotArea type="data" outline="0" fieldPosition="0">
        <references count="1">
          <reference field="4294967294" count="1" selected="0">
            <x v="1"/>
          </reference>
        </references>
      </pivotArea>
    </chartFormat>
    <chartFormat chart="9" format="18" series="1">
      <pivotArea type="data" outline="0" fieldPosition="0">
        <references count="1">
          <reference field="4294967294" count="1" selected="0">
            <x v="2"/>
          </reference>
        </references>
      </pivotArea>
    </chartFormat>
    <chartFormat chart="9" format="19" series="1">
      <pivotArea type="data" outline="0" fieldPosition="0">
        <references count="1">
          <reference field="4294967294" count="1" selected="0">
            <x v="3"/>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1EE7C2-8346-4652-A8EF-F1921FB7147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E4:F9" firstHeaderRow="1" firstDataRow="1" firstDataCol="1"/>
  <pivotFields count="19">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name="PT_month"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6"/>
  </rowFields>
  <rowItems count="5">
    <i>
      <x v="4"/>
    </i>
    <i>
      <x v="5"/>
    </i>
    <i>
      <x v="6"/>
    </i>
    <i>
      <x v="7"/>
    </i>
    <i t="grand">
      <x/>
    </i>
  </rowItems>
  <colItems count="1">
    <i/>
  </colItems>
  <dataFields count="1">
    <dataField name="Month_Sale" fld="14" baseField="0" baseItem="0" numFmtId="4"/>
  </dataFields>
  <formats count="6">
    <format dxfId="407">
      <pivotArea type="all" dataOnly="0" outline="0" fieldPosition="0"/>
    </format>
    <format dxfId="406">
      <pivotArea outline="0" collapsedLevelsAreSubtotals="1" fieldPosition="0"/>
    </format>
    <format dxfId="405">
      <pivotArea field="16" type="button" dataOnly="0" labelOnly="1" outline="0" axis="axisRow" fieldPosition="0"/>
    </format>
    <format dxfId="404">
      <pivotArea dataOnly="0" labelOnly="1" fieldPosition="0">
        <references count="1">
          <reference field="16" count="4">
            <x v="4"/>
            <x v="5"/>
            <x v="6"/>
            <x v="7"/>
          </reference>
        </references>
      </pivotArea>
    </format>
    <format dxfId="403">
      <pivotArea dataOnly="0" labelOnly="1" grandRow="1" outline="0" fieldPosition="0"/>
    </format>
    <format dxfId="402">
      <pivotArea dataOnly="0" labelOnly="1" outline="0" axis="axisValues"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A8A8BC-29A6-4634-815B-721B6E0B038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Firm">
  <location ref="B4:C7" firstHeaderRow="1" firstDataRow="1" firstDataCol="1"/>
  <pivotFields count="19">
    <pivotField name="PT_FIRM" axis="axisRow"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3">
    <i>
      <x/>
    </i>
    <i>
      <x v="1"/>
    </i>
    <i t="grand">
      <x/>
    </i>
  </rowItems>
  <colItems count="1">
    <i/>
  </colItems>
  <dataFields count="1">
    <dataField name="Firm_Sale" fld="14" baseField="0" baseItem="0" numFmtId="4"/>
  </dataFields>
  <formats count="25">
    <format dxfId="432">
      <pivotArea type="all" dataOnly="0" outline="0" fieldPosition="0"/>
    </format>
    <format dxfId="431">
      <pivotArea outline="0" collapsedLevelsAreSubtotals="1" fieldPosition="0"/>
    </format>
    <format dxfId="430">
      <pivotArea field="0" type="button" dataOnly="0" labelOnly="1" outline="0" axis="axisRow" fieldPosition="0"/>
    </format>
    <format dxfId="429">
      <pivotArea dataOnly="0" labelOnly="1" fieldPosition="0">
        <references count="1">
          <reference field="0" count="0"/>
        </references>
      </pivotArea>
    </format>
    <format dxfId="428">
      <pivotArea dataOnly="0" labelOnly="1" grandRow="1" outline="0" fieldPosition="0"/>
    </format>
    <format dxfId="427">
      <pivotArea dataOnly="0" labelOnly="1" outline="0" axis="axisValues" fieldPosition="0"/>
    </format>
    <format dxfId="426">
      <pivotArea type="all" dataOnly="0" outline="0" fieldPosition="0"/>
    </format>
    <format dxfId="425">
      <pivotArea outline="0" collapsedLevelsAreSubtotals="1" fieldPosition="0"/>
    </format>
    <format dxfId="424">
      <pivotArea field="0" type="button" dataOnly="0" labelOnly="1" outline="0" axis="axisRow" fieldPosition="0"/>
    </format>
    <format dxfId="423">
      <pivotArea dataOnly="0" labelOnly="1" fieldPosition="0">
        <references count="1">
          <reference field="0" count="0"/>
        </references>
      </pivotArea>
    </format>
    <format dxfId="422">
      <pivotArea dataOnly="0" labelOnly="1" grandRow="1" outline="0" fieldPosition="0"/>
    </format>
    <format dxfId="421">
      <pivotArea dataOnly="0" labelOnly="1" outline="0" axis="axisValues" fieldPosition="0"/>
    </format>
    <format dxfId="420">
      <pivotArea type="all" dataOnly="0" outline="0" fieldPosition="0"/>
    </format>
    <format dxfId="419">
      <pivotArea field="0" type="button" dataOnly="0" labelOnly="1" outline="0" axis="axisRow" fieldPosition="0"/>
    </format>
    <format dxfId="418">
      <pivotArea dataOnly="0" labelOnly="1" fieldPosition="0">
        <references count="1">
          <reference field="0" count="0"/>
        </references>
      </pivotArea>
    </format>
    <format dxfId="417">
      <pivotArea dataOnly="0" labelOnly="1" grandRow="1" outline="0" fieldPosition="0"/>
    </format>
    <format dxfId="416">
      <pivotArea field="0" type="button" dataOnly="0" labelOnly="1" outline="0" axis="axisRow" fieldPosition="0"/>
    </format>
    <format dxfId="415">
      <pivotArea dataOnly="0" labelOnly="1" fieldPosition="0">
        <references count="1">
          <reference field="0" count="0"/>
        </references>
      </pivotArea>
    </format>
    <format dxfId="414">
      <pivotArea dataOnly="0" labelOnly="1" grandRow="1" outline="0" fieldPosition="0"/>
    </format>
    <format dxfId="413">
      <pivotArea type="all" dataOnly="0" outline="0" fieldPosition="0"/>
    </format>
    <format dxfId="412">
      <pivotArea outline="0" collapsedLevelsAreSubtotals="1" fieldPosition="0"/>
    </format>
    <format dxfId="411">
      <pivotArea field="0" type="button" dataOnly="0" labelOnly="1" outline="0" axis="axisRow" fieldPosition="0"/>
    </format>
    <format dxfId="410">
      <pivotArea dataOnly="0" labelOnly="1" fieldPosition="0">
        <references count="1">
          <reference field="0" count="0"/>
        </references>
      </pivotArea>
    </format>
    <format dxfId="409">
      <pivotArea dataOnly="0" labelOnly="1" grandRow="1" outline="0" fieldPosition="0"/>
    </format>
    <format dxfId="408">
      <pivotArea dataOnly="0" labelOnly="1" outline="0" axis="axisValues" fieldPosition="0"/>
    </format>
  </formats>
  <chartFormats count="3">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0" count="1" selected="0">
            <x v="0"/>
          </reference>
        </references>
      </pivotArea>
    </chartFormat>
    <chartFormat chart="11" format="12">
      <pivotArea type="data" outline="0" fieldPosition="0">
        <references count="2">
          <reference field="4294967294" count="1" selected="0">
            <x v="0"/>
          </reference>
          <reference field="0" count="1" selected="0">
            <x v="1"/>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63DA920-4C27-48A0-8EA5-560B2D7024D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tate">
  <location ref="K4:L7" firstHeaderRow="1" firstDataRow="1" firstDataCol="1"/>
  <pivotFields count="19">
    <pivotField showAll="0">
      <items count="3">
        <item x="0"/>
        <item x="1"/>
        <item t="default"/>
      </items>
    </pivotField>
    <pivotField name="Pt_state" axis="axisRow" showAll="0">
      <items count="3">
        <item x="1"/>
        <item x="0"/>
        <item t="default"/>
      </items>
    </pivotField>
    <pivotField showAll="0"/>
    <pivotField numFmtId="14" showAll="0">
      <items count="37">
        <item h="1"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items count="4">
        <item x="2"/>
        <item x="1"/>
        <item x="0"/>
        <item t="default"/>
      </items>
    </pivotField>
    <pivotField numFmtId="4" showAll="0"/>
    <pivotField numFmtId="4" showAll="0"/>
    <pivotField numFmtId="4" showAll="0"/>
    <pivotField numFmtId="4" showAll="0"/>
    <pivotField showAll="0"/>
    <pivotField dataField="1" numFmtId="4" showAll="0"/>
    <pivotField numFmtId="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
  </rowFields>
  <rowItems count="3">
    <i>
      <x/>
    </i>
    <i>
      <x v="1"/>
    </i>
    <i t="grand">
      <x/>
    </i>
  </rowItems>
  <colItems count="1">
    <i/>
  </colItems>
  <dataFields count="1">
    <dataField name="State_Sale" fld="14" baseField="0" baseItem="0" numFmtId="4"/>
  </dataFields>
  <chartFormats count="3">
    <chartFormat chart="4" format="1"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D7F2049-FFF0-497E-903E-E8E1A098E563}" sourceName="State">
  <pivotTables>
    <pivotTable tabId="7" name="PivotTable1"/>
    <pivotTable tabId="7" name="PivotTable2"/>
    <pivotTable tabId="7" name="PivotTable3"/>
    <pivotTable tabId="7" name="PivotTable4"/>
    <pivotTable tabId="7" name="PivotTable5"/>
  </pivotTables>
  <data>
    <tabular pivotCacheId="179681103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rm_Name" xr10:uid="{22A0B295-29A3-4818-BDE5-BFCCD5A958BA}" sourceName="Firm Name ">
  <pivotTables>
    <pivotTable tabId="7" name="PivotTable1"/>
    <pivotTable tabId="7" name="PivotTable2"/>
    <pivotTable tabId="7" name="PivotTable3"/>
    <pivotTable tabId="7" name="PivotTable4"/>
    <pivotTable tabId="7" name="PivotTable5"/>
  </pivotTables>
  <data>
    <tabular pivotCacheId="179681103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_of_Goods" xr10:uid="{D05F1912-11FB-4CF7-8629-520A88CC5064}" sourceName="Description of Goods">
  <pivotTables>
    <pivotTable tabId="7" name="PivotTable1"/>
    <pivotTable tabId="7" name="PivotTable2"/>
    <pivotTable tabId="7" name="PivotTable3"/>
    <pivotTable tabId="7" name="PivotTable4"/>
    <pivotTable tabId="7" name="PivotTable5"/>
  </pivotTables>
  <data>
    <tabular pivotCacheId="179681103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x_Rate" xr10:uid="{A05725C4-5D95-4F9E-90B0-26DF922034A5}" sourceName="Tax Rate">
  <pivotTables>
    <pivotTable tabId="7" name="PivotTable1"/>
    <pivotTable tabId="7" name="PivotTable2"/>
    <pivotTable tabId="7" name="PivotTable3"/>
    <pivotTable tabId="7" name="PivotTable4"/>
    <pivotTable tabId="7" name="PivotTable5"/>
  </pivotTables>
  <data>
    <tabular pivotCacheId="1796811036">
      <items count="7">
        <i x="3" s="1"/>
        <i x="6" s="1"/>
        <i x="2" s="1"/>
        <i x="5" s="1"/>
        <i x="1" s="1"/>
        <i x="0"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F24D7560-4F5A-4B28-B40C-50C13500375D}" sourceName="Months (Date)">
  <pivotTables>
    <pivotTable tabId="7" name="PivotTable1"/>
    <pivotTable tabId="7" name="PivotTable2"/>
    <pivotTable tabId="7" name="PivotTable3"/>
    <pivotTable tabId="7" name="PivotTable4"/>
    <pivotTable tabId="7" name="PivotTable5"/>
  </pivotTables>
  <data>
    <tabular pivotCacheId="1796811036">
      <items count="14">
        <i x="4" s="1"/>
        <i x="5" s="1"/>
        <i x="6" s="1"/>
        <i x="7" s="1"/>
        <i x="1" s="1" nd="1"/>
        <i x="2" s="1" nd="1"/>
        <i x="3"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t_state 1" xr10:uid="{D9068727-8AB7-4415-A0F4-3D664A694DF8}" cache="Slicer_State" caption="STATE" style="SlicerStyleOther2" rowHeight="468000"/>
  <slicer name="Firm Name  1" xr10:uid="{E5E0106D-52EC-4D6F-AFF5-32CC74DB721D}" cache="Slicer_Firm_Name" caption="FIRM NAME" style="SlicerStyleOther2" rowHeight="468000"/>
  <slicer name="Products 1" xr10:uid="{1276557F-83D1-4AA8-A999-37B3E68E3AFC}" cache="Slicer_Description_of_Goods" caption="PRODUCTS" style="SlicerStyleOther2" rowHeight="468000"/>
  <slicer name="Tax Rate 1" xr10:uid="{4F3224C0-A5B5-47CE-B44B-87913718EA02}" cache="Slicer_Tax_Rate" caption="GST RATE" style="SlicerStyleOther2" rowHeight="468000"/>
  <slicer name="Months (Date) 1" xr10:uid="{7C30A690-9B0D-4EFE-BA5F-E5645130091E}" cache="Slicer_Months__Date" caption="MONTHS" columnCount="2" style="SlicerStyleOther2" rowHeight="46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89ACDA-B985-42D4-81DD-16DB2BB8AB6C}" name="sales_data" displayName="sales_data" ref="A1:P37" totalsRowShown="0" headerRowDxfId="451" dataDxfId="450" tableBorderDxfId="449" dataCellStyle="40% - Accent6">
  <autoFilter ref="A1:P37" xr:uid="{B389ACDA-B985-42D4-81DD-16DB2BB8AB6C}"/>
  <tableColumns count="16">
    <tableColumn id="1" xr3:uid="{6A6B4E38-B58D-40AF-91AC-5B346B80255B}" name="Firm Name " dataDxfId="448" dataCellStyle="40% - Accent6"/>
    <tableColumn id="2" xr3:uid="{5E66D4DA-3B06-476B-84D0-6753675014AF}" name="State" dataDxfId="447" dataCellStyle="40% - Accent6"/>
    <tableColumn id="3" xr3:uid="{0FC9390B-2260-4D75-AAD6-90D0619153D1}" name="Invoice No." dataDxfId="446" dataCellStyle="40% - Accent6"/>
    <tableColumn id="4" xr3:uid="{A6FDCF99-5DBA-4D60-9296-FB4C560294FA}" name="Date" dataDxfId="445" dataCellStyle="40% - Accent6"/>
    <tableColumn id="5" xr3:uid="{83952F8B-6FC2-452A-9753-00ECA79162AB}" name="Tax Rate" dataDxfId="444" dataCellStyle="40% - Accent6"/>
    <tableColumn id="6" xr3:uid="{37273EC7-2C7E-47E8-A7AC-5A11C4B2BD49}" name="Description of Goods" dataDxfId="443" dataCellStyle="40% - Accent6"/>
    <tableColumn id="7" xr3:uid="{C10A455A-9D85-4EC2-9545-439D69681686}" name="Qty" dataDxfId="442" dataCellStyle="40% - Accent6"/>
    <tableColumn id="8" xr3:uid="{1076BEE6-B672-47FC-90CA-AE8AF5A1C4B7}" name="Unit" dataDxfId="441" dataCellStyle="40% - Accent6"/>
    <tableColumn id="9" xr3:uid="{0EA881B4-F413-4E09-B2CB-CC0CAF8CCA6A}" name="Rate" dataDxfId="440" dataCellStyle="40% - Accent6"/>
    <tableColumn id="10" xr3:uid="{A035B719-4424-4978-B81D-F37B62B60D73}" name="Taxable Value" dataDxfId="439"/>
    <tableColumn id="11" xr3:uid="{7C8AFEEC-652D-46DA-9857-253B21BC3B1E}" name="IGST" dataDxfId="438" dataCellStyle="40% - Accent6"/>
    <tableColumn id="12" xr3:uid="{0D12EE22-D52A-4C3E-BA81-FE58EE64B0DE}" name="CGST" dataDxfId="437" dataCellStyle="40% - Accent6"/>
    <tableColumn id="13" xr3:uid="{DADC35FE-C7CF-4A9B-A3A8-9EDCAB3E0302}" name="SGST" dataDxfId="436" dataCellStyle="40% - Accent6"/>
    <tableColumn id="14" xr3:uid="{885708DB-DF08-4407-8477-41166B86E130}" name="CESS" dataDxfId="435" dataCellStyle="40% - Accent6"/>
    <tableColumn id="15" xr3:uid="{1564FE80-BF7B-4180-BEE9-5A24DDF42978}" name="TOTAL" dataDxfId="434" dataCellStyle="40% - Accent6"/>
    <tableColumn id="16" xr3:uid="{C17496D4-443D-4F26-8785-D475BC088C03}" name="INVOICE VALUE" dataDxfId="43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rinterSettings" Target="../printerSettings/printerSettings1.bin"/><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B6"/>
  <sheetViews>
    <sheetView workbookViewId="0">
      <selection activeCell="H10" sqref="H10"/>
    </sheetView>
  </sheetViews>
  <sheetFormatPr defaultRowHeight="14.5" x14ac:dyDescent="0.35"/>
  <cols>
    <col min="1" max="1" width="12.54296875" bestFit="1" customWidth="1"/>
    <col min="2" max="2" width="12.90625" bestFit="1" customWidth="1"/>
  </cols>
  <sheetData>
    <row r="3" spans="1:2" x14ac:dyDescent="0.35">
      <c r="A3" s="1" t="s">
        <v>24</v>
      </c>
      <c r="B3" t="s">
        <v>26</v>
      </c>
    </row>
    <row r="4" spans="1:2" x14ac:dyDescent="0.35">
      <c r="A4" s="2" t="s">
        <v>16</v>
      </c>
      <c r="B4">
        <v>410376.47000000003</v>
      </c>
    </row>
    <row r="5" spans="1:2" x14ac:dyDescent="0.35">
      <c r="A5" s="2" t="s">
        <v>22</v>
      </c>
      <c r="B5">
        <v>459587.38999999996</v>
      </c>
    </row>
    <row r="6" spans="1:2" x14ac:dyDescent="0.35">
      <c r="A6" s="2" t="s">
        <v>25</v>
      </c>
      <c r="B6">
        <v>869963.86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3:B8"/>
  <sheetViews>
    <sheetView workbookViewId="0">
      <selection activeCell="M9" sqref="M9"/>
    </sheetView>
  </sheetViews>
  <sheetFormatPr defaultRowHeight="14.5" x14ac:dyDescent="0.35"/>
  <cols>
    <col min="1" max="1" width="12.54296875" bestFit="1" customWidth="1"/>
    <col min="2" max="2" width="12.90625" bestFit="1" customWidth="1"/>
  </cols>
  <sheetData>
    <row r="3" spans="1:2" x14ac:dyDescent="0.35">
      <c r="A3" s="1" t="s">
        <v>24</v>
      </c>
      <c r="B3" t="s">
        <v>26</v>
      </c>
    </row>
    <row r="4" spans="1:2" x14ac:dyDescent="0.35">
      <c r="A4" s="3" t="s">
        <v>27</v>
      </c>
      <c r="B4">
        <v>21004</v>
      </c>
    </row>
    <row r="5" spans="1:2" x14ac:dyDescent="0.35">
      <c r="A5" s="3" t="s">
        <v>28</v>
      </c>
      <c r="B5">
        <v>229752.43999999997</v>
      </c>
    </row>
    <row r="6" spans="1:2" x14ac:dyDescent="0.35">
      <c r="A6" s="3" t="s">
        <v>29</v>
      </c>
      <c r="B6">
        <v>389805.09</v>
      </c>
    </row>
    <row r="7" spans="1:2" x14ac:dyDescent="0.35">
      <c r="A7" s="3" t="s">
        <v>30</v>
      </c>
      <c r="B7">
        <v>229402.33</v>
      </c>
    </row>
    <row r="8" spans="1:2" x14ac:dyDescent="0.35">
      <c r="A8" s="3" t="s">
        <v>25</v>
      </c>
      <c r="B8">
        <v>869963.86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3:F11"/>
  <sheetViews>
    <sheetView workbookViewId="0">
      <selection activeCell="H25" sqref="H25"/>
    </sheetView>
  </sheetViews>
  <sheetFormatPr defaultRowHeight="14.5" x14ac:dyDescent="0.35"/>
  <cols>
    <col min="1" max="1" width="12.54296875" bestFit="1" customWidth="1"/>
    <col min="2" max="2" width="11.1796875" bestFit="1" customWidth="1"/>
    <col min="3" max="3" width="11.81640625" bestFit="1" customWidth="1"/>
    <col min="4" max="4" width="11.6328125" bestFit="1" customWidth="1"/>
    <col min="5" max="6" width="12.90625" bestFit="1" customWidth="1"/>
  </cols>
  <sheetData>
    <row r="3" spans="1:6" x14ac:dyDescent="0.35">
      <c r="A3" s="1" t="s">
        <v>24</v>
      </c>
      <c r="B3" t="s">
        <v>31</v>
      </c>
      <c r="C3" t="s">
        <v>32</v>
      </c>
      <c r="D3" t="s">
        <v>33</v>
      </c>
      <c r="E3" t="s">
        <v>34</v>
      </c>
      <c r="F3" t="s">
        <v>26</v>
      </c>
    </row>
    <row r="4" spans="1:6" x14ac:dyDescent="0.35">
      <c r="A4" s="4">
        <v>0</v>
      </c>
      <c r="B4">
        <v>0</v>
      </c>
      <c r="C4">
        <v>0</v>
      </c>
      <c r="D4">
        <v>0</v>
      </c>
      <c r="F4">
        <v>84740</v>
      </c>
    </row>
    <row r="5" spans="1:6" x14ac:dyDescent="0.35">
      <c r="A5" s="4">
        <v>1E-3</v>
      </c>
      <c r="B5">
        <v>0</v>
      </c>
      <c r="C5">
        <v>46.83</v>
      </c>
      <c r="D5">
        <v>46.83</v>
      </c>
      <c r="F5">
        <v>93753.659999999989</v>
      </c>
    </row>
    <row r="6" spans="1:6" x14ac:dyDescent="0.35">
      <c r="A6" s="4">
        <v>0.03</v>
      </c>
      <c r="B6">
        <v>1505.25</v>
      </c>
      <c r="C6">
        <v>1087.125</v>
      </c>
      <c r="D6">
        <v>1087.125</v>
      </c>
      <c r="F6">
        <v>126329.5</v>
      </c>
    </row>
    <row r="7" spans="1:6" x14ac:dyDescent="0.35">
      <c r="A7" s="4">
        <v>0.05</v>
      </c>
      <c r="B7">
        <v>1393.75</v>
      </c>
      <c r="C7">
        <v>2871.125</v>
      </c>
      <c r="D7">
        <v>2871.125</v>
      </c>
      <c r="F7">
        <v>149856</v>
      </c>
    </row>
    <row r="8" spans="1:6" x14ac:dyDescent="0.35">
      <c r="A8" s="4">
        <v>0.12</v>
      </c>
      <c r="B8">
        <v>0</v>
      </c>
      <c r="C8">
        <v>7559.4</v>
      </c>
      <c r="D8">
        <v>7559.4</v>
      </c>
      <c r="F8">
        <v>141108.79999999999</v>
      </c>
    </row>
    <row r="9" spans="1:6" x14ac:dyDescent="0.35">
      <c r="A9" s="4">
        <v>0.18</v>
      </c>
      <c r="B9">
        <v>8429.4</v>
      </c>
      <c r="C9">
        <v>3307.95</v>
      </c>
      <c r="D9">
        <v>3307.95</v>
      </c>
      <c r="F9">
        <v>98630.3</v>
      </c>
    </row>
    <row r="10" spans="1:6" x14ac:dyDescent="0.35">
      <c r="A10" s="4">
        <v>0.28000000000000003</v>
      </c>
      <c r="B10">
        <v>0</v>
      </c>
      <c r="C10">
        <v>19200.300000000003</v>
      </c>
      <c r="D10">
        <v>19200.300000000003</v>
      </c>
      <c r="F10">
        <v>175545.59999999998</v>
      </c>
    </row>
    <row r="11" spans="1:6" x14ac:dyDescent="0.35">
      <c r="A11" s="4" t="s">
        <v>25</v>
      </c>
      <c r="B11">
        <v>11328.4</v>
      </c>
      <c r="C11">
        <v>34072.730000000003</v>
      </c>
      <c r="D11">
        <v>34072.730000000003</v>
      </c>
      <c r="F11">
        <v>869963.8600000001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3:B6"/>
  <sheetViews>
    <sheetView workbookViewId="0">
      <selection activeCell="J9" sqref="J9"/>
    </sheetView>
  </sheetViews>
  <sheetFormatPr defaultRowHeight="14.5" x14ac:dyDescent="0.35"/>
  <cols>
    <col min="1" max="1" width="12.54296875" bestFit="1" customWidth="1"/>
    <col min="2" max="2" width="12.90625" bestFit="1" customWidth="1"/>
  </cols>
  <sheetData>
    <row r="3" spans="1:2" x14ac:dyDescent="0.35">
      <c r="A3" s="1" t="s">
        <v>24</v>
      </c>
      <c r="B3" t="s">
        <v>26</v>
      </c>
    </row>
    <row r="4" spans="1:2" x14ac:dyDescent="0.35">
      <c r="A4" s="2" t="s">
        <v>20</v>
      </c>
      <c r="B4">
        <v>427057.24</v>
      </c>
    </row>
    <row r="5" spans="1:2" x14ac:dyDescent="0.35">
      <c r="A5" s="2" t="s">
        <v>18</v>
      </c>
      <c r="B5">
        <v>442906.61999999994</v>
      </c>
    </row>
    <row r="6" spans="1:2" x14ac:dyDescent="0.35">
      <c r="A6" s="2" t="s">
        <v>25</v>
      </c>
      <c r="B6">
        <v>869963.85999999987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37"/>
  <sheetViews>
    <sheetView zoomScale="70" zoomScaleNormal="85" workbookViewId="0">
      <selection activeCell="O6" sqref="O6"/>
    </sheetView>
  </sheetViews>
  <sheetFormatPr defaultRowHeight="14.5" x14ac:dyDescent="0.35"/>
  <cols>
    <col min="1" max="1" width="16.36328125" customWidth="1"/>
    <col min="2" max="2" width="12.90625" bestFit="1" customWidth="1"/>
    <col min="3" max="3" width="16.08984375" customWidth="1"/>
    <col min="4" max="4" width="13.90625" customWidth="1"/>
    <col min="5" max="5" width="13" customWidth="1"/>
    <col min="6" max="6" width="27.36328125" customWidth="1"/>
    <col min="7" max="7" width="8.453125" customWidth="1"/>
    <col min="8" max="8" width="8.54296875" customWidth="1"/>
    <col min="9" max="9" width="10.90625" customWidth="1"/>
    <col min="10" max="10" width="19" customWidth="1"/>
    <col min="11" max="11" width="9.54296875" bestFit="1" customWidth="1"/>
    <col min="12" max="12" width="10.453125" customWidth="1"/>
    <col min="13" max="13" width="10.54296875" customWidth="1"/>
    <col min="14" max="14" width="8.54296875" customWidth="1"/>
    <col min="15" max="15" width="12.54296875" customWidth="1"/>
    <col min="16" max="16" width="20.54296875" customWidth="1"/>
  </cols>
  <sheetData>
    <row r="1" spans="1:16" ht="18.5" x14ac:dyDescent="0.35">
      <c r="A1" s="23" t="s">
        <v>0</v>
      </c>
      <c r="B1" s="24" t="s">
        <v>1</v>
      </c>
      <c r="C1" s="24" t="s">
        <v>2</v>
      </c>
      <c r="D1" s="24" t="s">
        <v>3</v>
      </c>
      <c r="E1" s="25" t="s">
        <v>4</v>
      </c>
      <c r="F1" s="25" t="s">
        <v>5</v>
      </c>
      <c r="G1" s="25" t="s">
        <v>6</v>
      </c>
      <c r="H1" s="25" t="s">
        <v>7</v>
      </c>
      <c r="I1" s="25" t="s">
        <v>8</v>
      </c>
      <c r="J1" s="26" t="s">
        <v>9</v>
      </c>
      <c r="K1" s="26" t="s">
        <v>10</v>
      </c>
      <c r="L1" s="26" t="s">
        <v>11</v>
      </c>
      <c r="M1" s="26" t="s">
        <v>12</v>
      </c>
      <c r="N1" s="26" t="s">
        <v>13</v>
      </c>
      <c r="O1" s="26" t="s">
        <v>14</v>
      </c>
      <c r="P1" s="24" t="s">
        <v>15</v>
      </c>
    </row>
    <row r="2" spans="1:16" ht="15.5" x14ac:dyDescent="0.35">
      <c r="A2" s="21" t="s">
        <v>16</v>
      </c>
      <c r="B2" s="5" t="s">
        <v>17</v>
      </c>
      <c r="C2" s="5">
        <v>23</v>
      </c>
      <c r="D2" s="6">
        <v>43922</v>
      </c>
      <c r="E2" s="7">
        <v>0.18</v>
      </c>
      <c r="F2" s="5" t="s">
        <v>18</v>
      </c>
      <c r="G2" s="5">
        <v>8</v>
      </c>
      <c r="H2" s="7" t="s">
        <v>19</v>
      </c>
      <c r="I2" s="8">
        <v>2225</v>
      </c>
      <c r="J2" s="9">
        <v>17800</v>
      </c>
      <c r="K2" s="10">
        <v>0</v>
      </c>
      <c r="L2" s="10">
        <v>1602</v>
      </c>
      <c r="M2" s="10">
        <v>1602</v>
      </c>
      <c r="N2" s="10"/>
      <c r="O2" s="10">
        <v>21004</v>
      </c>
      <c r="P2" s="9">
        <v>21004</v>
      </c>
    </row>
    <row r="3" spans="1:16" ht="15.5" x14ac:dyDescent="0.35">
      <c r="A3" s="22" t="s">
        <v>16</v>
      </c>
      <c r="B3" s="11" t="s">
        <v>17</v>
      </c>
      <c r="C3" s="11">
        <v>24</v>
      </c>
      <c r="D3" s="12">
        <v>43986</v>
      </c>
      <c r="E3" s="13">
        <v>0.12</v>
      </c>
      <c r="F3" s="11" t="s">
        <v>20</v>
      </c>
      <c r="G3" s="11">
        <v>2</v>
      </c>
      <c r="H3" s="13" t="s">
        <v>19</v>
      </c>
      <c r="I3" s="14">
        <v>1670</v>
      </c>
      <c r="J3" s="15">
        <v>3340</v>
      </c>
      <c r="K3" s="16">
        <v>0</v>
      </c>
      <c r="L3" s="16">
        <v>200.4</v>
      </c>
      <c r="M3" s="16">
        <v>200.4</v>
      </c>
      <c r="N3" s="16"/>
      <c r="O3" s="16">
        <v>3740.8</v>
      </c>
      <c r="P3" s="15">
        <v>3740.8</v>
      </c>
    </row>
    <row r="4" spans="1:16" ht="15.5" x14ac:dyDescent="0.35">
      <c r="A4" s="21" t="s">
        <v>16</v>
      </c>
      <c r="B4" s="5" t="s">
        <v>17</v>
      </c>
      <c r="C4" s="5">
        <v>25</v>
      </c>
      <c r="D4" s="6">
        <v>44016</v>
      </c>
      <c r="E4" s="7">
        <v>0.03</v>
      </c>
      <c r="F4" s="5" t="s">
        <v>18</v>
      </c>
      <c r="G4" s="5">
        <v>10</v>
      </c>
      <c r="H4" s="7" t="s">
        <v>19</v>
      </c>
      <c r="I4" s="8">
        <v>1115</v>
      </c>
      <c r="J4" s="9">
        <v>11150</v>
      </c>
      <c r="K4" s="10">
        <v>0</v>
      </c>
      <c r="L4" s="10">
        <v>167.25</v>
      </c>
      <c r="M4" s="10">
        <v>167.25</v>
      </c>
      <c r="N4" s="10"/>
      <c r="O4" s="10">
        <v>11484.5</v>
      </c>
      <c r="P4" s="9">
        <v>11484.5</v>
      </c>
    </row>
    <row r="5" spans="1:16" ht="15.5" x14ac:dyDescent="0.35">
      <c r="A5" s="22" t="s">
        <v>16</v>
      </c>
      <c r="B5" s="11" t="s">
        <v>21</v>
      </c>
      <c r="C5" s="11">
        <v>26</v>
      </c>
      <c r="D5" s="12">
        <v>43956</v>
      </c>
      <c r="E5" s="13">
        <v>0</v>
      </c>
      <c r="F5" s="11" t="s">
        <v>20</v>
      </c>
      <c r="G5" s="11">
        <v>3</v>
      </c>
      <c r="H5" s="13" t="s">
        <v>19</v>
      </c>
      <c r="I5" s="14">
        <v>1115</v>
      </c>
      <c r="J5" s="15">
        <v>3345</v>
      </c>
      <c r="K5" s="16">
        <v>0</v>
      </c>
      <c r="L5" s="16">
        <v>0</v>
      </c>
      <c r="M5" s="16">
        <v>0</v>
      </c>
      <c r="N5" s="16"/>
      <c r="O5" s="16">
        <v>3345</v>
      </c>
      <c r="P5" s="15">
        <v>3345</v>
      </c>
    </row>
    <row r="6" spans="1:16" ht="15.5" x14ac:dyDescent="0.35">
      <c r="A6" s="21" t="s">
        <v>16</v>
      </c>
      <c r="B6" s="5" t="s">
        <v>17</v>
      </c>
      <c r="C6" s="5">
        <v>27</v>
      </c>
      <c r="D6" s="6">
        <v>43987</v>
      </c>
      <c r="E6" s="7">
        <v>0.28000000000000003</v>
      </c>
      <c r="F6" s="5" t="s">
        <v>18</v>
      </c>
      <c r="G6" s="5">
        <v>4</v>
      </c>
      <c r="H6" s="7" t="s">
        <v>19</v>
      </c>
      <c r="I6" s="8">
        <v>1115</v>
      </c>
      <c r="J6" s="9">
        <v>4460</v>
      </c>
      <c r="K6" s="10">
        <v>0</v>
      </c>
      <c r="L6" s="10">
        <v>624.40000000000009</v>
      </c>
      <c r="M6" s="10">
        <v>624.40000000000009</v>
      </c>
      <c r="N6" s="10"/>
      <c r="O6" s="10">
        <v>5708.7999999999993</v>
      </c>
      <c r="P6" s="9">
        <v>5708.7999999999993</v>
      </c>
    </row>
    <row r="7" spans="1:16" ht="15.5" x14ac:dyDescent="0.35">
      <c r="A7" s="22" t="s">
        <v>16</v>
      </c>
      <c r="B7" s="11" t="s">
        <v>17</v>
      </c>
      <c r="C7" s="11">
        <v>28</v>
      </c>
      <c r="D7" s="12">
        <v>44017</v>
      </c>
      <c r="E7" s="13">
        <v>0.05</v>
      </c>
      <c r="F7" s="11" t="s">
        <v>20</v>
      </c>
      <c r="G7" s="11">
        <v>24</v>
      </c>
      <c r="H7" s="13" t="s">
        <v>19</v>
      </c>
      <c r="I7" s="14">
        <v>1115</v>
      </c>
      <c r="J7" s="15">
        <v>26760</v>
      </c>
      <c r="K7" s="16">
        <v>0</v>
      </c>
      <c r="L7" s="16">
        <v>669</v>
      </c>
      <c r="M7" s="16">
        <v>669</v>
      </c>
      <c r="N7" s="16"/>
      <c r="O7" s="16">
        <v>28098</v>
      </c>
      <c r="P7" s="15">
        <v>28098</v>
      </c>
    </row>
    <row r="8" spans="1:16" ht="15.5" x14ac:dyDescent="0.35">
      <c r="A8" s="21" t="s">
        <v>16</v>
      </c>
      <c r="B8" s="5" t="s">
        <v>17</v>
      </c>
      <c r="C8" s="5">
        <v>29</v>
      </c>
      <c r="D8" s="6">
        <v>43957</v>
      </c>
      <c r="E8" s="7">
        <v>1E-3</v>
      </c>
      <c r="F8" s="5" t="s">
        <v>18</v>
      </c>
      <c r="G8" s="5">
        <v>30</v>
      </c>
      <c r="H8" s="7" t="s">
        <v>19</v>
      </c>
      <c r="I8" s="8">
        <v>1115</v>
      </c>
      <c r="J8" s="9">
        <v>33450</v>
      </c>
      <c r="K8" s="10">
        <v>0</v>
      </c>
      <c r="L8" s="10">
        <v>16.725000000000001</v>
      </c>
      <c r="M8" s="10">
        <v>16.725000000000001</v>
      </c>
      <c r="N8" s="10"/>
      <c r="O8" s="10">
        <v>33483.449999999997</v>
      </c>
      <c r="P8" s="9">
        <v>33483.449999999997</v>
      </c>
    </row>
    <row r="9" spans="1:16" ht="15.5" x14ac:dyDescent="0.35">
      <c r="A9" s="22" t="s">
        <v>16</v>
      </c>
      <c r="B9" s="11" t="s">
        <v>17</v>
      </c>
      <c r="C9" s="11">
        <v>30</v>
      </c>
      <c r="D9" s="12">
        <v>43988</v>
      </c>
      <c r="E9" s="13">
        <v>0.03</v>
      </c>
      <c r="F9" s="11" t="s">
        <v>20</v>
      </c>
      <c r="G9" s="11">
        <v>12</v>
      </c>
      <c r="H9" s="13" t="s">
        <v>19</v>
      </c>
      <c r="I9" s="14">
        <v>1115</v>
      </c>
      <c r="J9" s="15">
        <v>13380</v>
      </c>
      <c r="K9" s="16">
        <v>0</v>
      </c>
      <c r="L9" s="16">
        <v>200.7</v>
      </c>
      <c r="M9" s="16">
        <v>200.7</v>
      </c>
      <c r="N9" s="16"/>
      <c r="O9" s="16">
        <v>13781.400000000001</v>
      </c>
      <c r="P9" s="15">
        <v>13781.400000000001</v>
      </c>
    </row>
    <row r="10" spans="1:16" ht="15.5" x14ac:dyDescent="0.35">
      <c r="A10" s="21" t="s">
        <v>22</v>
      </c>
      <c r="B10" s="5" t="s">
        <v>17</v>
      </c>
      <c r="C10" s="5">
        <v>31</v>
      </c>
      <c r="D10" s="6">
        <v>44018</v>
      </c>
      <c r="E10" s="7">
        <v>0.18</v>
      </c>
      <c r="F10" s="5" t="s">
        <v>18</v>
      </c>
      <c r="G10" s="5">
        <v>17</v>
      </c>
      <c r="H10" s="7" t="s">
        <v>19</v>
      </c>
      <c r="I10" s="8">
        <v>1115</v>
      </c>
      <c r="J10" s="9">
        <v>18955</v>
      </c>
      <c r="K10" s="10">
        <v>0</v>
      </c>
      <c r="L10" s="10">
        <v>1705.95</v>
      </c>
      <c r="M10" s="10">
        <v>1705.95</v>
      </c>
      <c r="N10" s="10"/>
      <c r="O10" s="10">
        <v>22366.9</v>
      </c>
      <c r="P10" s="9">
        <v>22366.9</v>
      </c>
    </row>
    <row r="11" spans="1:16" ht="15.5" x14ac:dyDescent="0.35">
      <c r="A11" s="22" t="s">
        <v>22</v>
      </c>
      <c r="B11" s="11" t="s">
        <v>17</v>
      </c>
      <c r="C11" s="11">
        <v>32</v>
      </c>
      <c r="D11" s="12">
        <v>43958</v>
      </c>
      <c r="E11" s="13">
        <v>1E-3</v>
      </c>
      <c r="F11" s="11" t="s">
        <v>20</v>
      </c>
      <c r="G11" s="11">
        <v>16</v>
      </c>
      <c r="H11" s="13" t="s">
        <v>19</v>
      </c>
      <c r="I11" s="14">
        <v>1115</v>
      </c>
      <c r="J11" s="15">
        <v>17840</v>
      </c>
      <c r="K11" s="16">
        <v>0</v>
      </c>
      <c r="L11" s="16">
        <v>8.92</v>
      </c>
      <c r="M11" s="16">
        <v>8.92</v>
      </c>
      <c r="N11" s="16"/>
      <c r="O11" s="16">
        <v>17857.839999999997</v>
      </c>
      <c r="P11" s="15">
        <v>17857.839999999997</v>
      </c>
    </row>
    <row r="12" spans="1:16" ht="15.5" x14ac:dyDescent="0.35">
      <c r="A12" s="21" t="s">
        <v>22</v>
      </c>
      <c r="B12" s="5" t="s">
        <v>17</v>
      </c>
      <c r="C12" s="5">
        <v>33</v>
      </c>
      <c r="D12" s="6">
        <v>43989</v>
      </c>
      <c r="E12" s="7">
        <v>0.28000000000000003</v>
      </c>
      <c r="F12" s="5" t="s">
        <v>18</v>
      </c>
      <c r="G12" s="5">
        <v>50</v>
      </c>
      <c r="H12" s="7" t="s">
        <v>19</v>
      </c>
      <c r="I12" s="8">
        <v>1115</v>
      </c>
      <c r="J12" s="9">
        <v>55750</v>
      </c>
      <c r="K12" s="10">
        <v>0</v>
      </c>
      <c r="L12" s="10">
        <v>7805.0000000000009</v>
      </c>
      <c r="M12" s="10">
        <v>7805.0000000000009</v>
      </c>
      <c r="N12" s="10"/>
      <c r="O12" s="10">
        <v>71360</v>
      </c>
      <c r="P12" s="9">
        <v>71360</v>
      </c>
    </row>
    <row r="13" spans="1:16" ht="15.5" x14ac:dyDescent="0.35">
      <c r="A13" s="22" t="s">
        <v>22</v>
      </c>
      <c r="B13" s="11" t="s">
        <v>17</v>
      </c>
      <c r="C13" s="11">
        <v>34</v>
      </c>
      <c r="D13" s="12">
        <v>44019</v>
      </c>
      <c r="E13" s="13">
        <v>0</v>
      </c>
      <c r="F13" s="11" t="s">
        <v>20</v>
      </c>
      <c r="G13" s="11">
        <v>21</v>
      </c>
      <c r="H13" s="13" t="s">
        <v>19</v>
      </c>
      <c r="I13" s="14">
        <v>1115</v>
      </c>
      <c r="J13" s="15">
        <v>23415</v>
      </c>
      <c r="K13" s="16">
        <v>0</v>
      </c>
      <c r="L13" s="16">
        <v>0</v>
      </c>
      <c r="M13" s="16">
        <v>0</v>
      </c>
      <c r="N13" s="16"/>
      <c r="O13" s="16">
        <v>23415</v>
      </c>
      <c r="P13" s="15">
        <v>23415</v>
      </c>
    </row>
    <row r="14" spans="1:16" ht="15.5" x14ac:dyDescent="0.35">
      <c r="A14" s="21" t="s">
        <v>16</v>
      </c>
      <c r="B14" s="5" t="s">
        <v>21</v>
      </c>
      <c r="C14" s="5">
        <v>35</v>
      </c>
      <c r="D14" s="6">
        <v>43959</v>
      </c>
      <c r="E14" s="17">
        <v>0.05</v>
      </c>
      <c r="F14" s="5" t="s">
        <v>18</v>
      </c>
      <c r="G14" s="18">
        <v>25</v>
      </c>
      <c r="H14" s="7" t="s">
        <v>19</v>
      </c>
      <c r="I14" s="8">
        <v>1115</v>
      </c>
      <c r="J14" s="9">
        <v>27875</v>
      </c>
      <c r="K14" s="10">
        <v>1393.75</v>
      </c>
      <c r="L14" s="10">
        <v>0</v>
      </c>
      <c r="M14" s="10">
        <v>0</v>
      </c>
      <c r="N14" s="10"/>
      <c r="O14" s="10">
        <v>29268.75</v>
      </c>
      <c r="P14" s="9">
        <v>29268.75</v>
      </c>
    </row>
    <row r="15" spans="1:16" ht="15.5" x14ac:dyDescent="0.35">
      <c r="A15" s="22" t="s">
        <v>16</v>
      </c>
      <c r="B15" s="11" t="s">
        <v>21</v>
      </c>
      <c r="C15" s="11">
        <v>36</v>
      </c>
      <c r="D15" s="12">
        <v>43990</v>
      </c>
      <c r="E15" s="19">
        <v>0.18</v>
      </c>
      <c r="F15" s="11" t="s">
        <v>20</v>
      </c>
      <c r="G15" s="20">
        <v>42</v>
      </c>
      <c r="H15" s="13" t="s">
        <v>19</v>
      </c>
      <c r="I15" s="14">
        <v>1115</v>
      </c>
      <c r="J15" s="15">
        <v>46830</v>
      </c>
      <c r="K15" s="16">
        <v>8429.4</v>
      </c>
      <c r="L15" s="16">
        <v>0</v>
      </c>
      <c r="M15" s="16">
        <v>0</v>
      </c>
      <c r="N15" s="16"/>
      <c r="O15" s="16">
        <v>55259.4</v>
      </c>
      <c r="P15" s="15">
        <v>55259.4</v>
      </c>
    </row>
    <row r="16" spans="1:16" ht="15.5" x14ac:dyDescent="0.35">
      <c r="A16" s="21" t="s">
        <v>16</v>
      </c>
      <c r="B16" s="5" t="s">
        <v>23</v>
      </c>
      <c r="C16" s="5">
        <v>37</v>
      </c>
      <c r="D16" s="6">
        <v>44020</v>
      </c>
      <c r="E16" s="17">
        <v>1E-3</v>
      </c>
      <c r="F16" s="5" t="s">
        <v>18</v>
      </c>
      <c r="G16" s="18">
        <v>32</v>
      </c>
      <c r="H16" s="7" t="s">
        <v>19</v>
      </c>
      <c r="I16" s="8">
        <v>1115</v>
      </c>
      <c r="J16" s="9">
        <v>35680</v>
      </c>
      <c r="K16" s="10">
        <v>0</v>
      </c>
      <c r="L16" s="10">
        <v>17.84</v>
      </c>
      <c r="M16" s="10">
        <v>17.84</v>
      </c>
      <c r="N16" s="10"/>
      <c r="O16" s="10">
        <v>35715.679999999993</v>
      </c>
      <c r="P16" s="9">
        <v>35715.679999999993</v>
      </c>
    </row>
    <row r="17" spans="1:16" ht="15.5" x14ac:dyDescent="0.35">
      <c r="A17" s="22" t="s">
        <v>16</v>
      </c>
      <c r="B17" s="11" t="s">
        <v>23</v>
      </c>
      <c r="C17" s="11">
        <v>38</v>
      </c>
      <c r="D17" s="12">
        <v>43960</v>
      </c>
      <c r="E17" s="19">
        <v>0</v>
      </c>
      <c r="F17" s="11" t="s">
        <v>20</v>
      </c>
      <c r="G17" s="20">
        <v>10</v>
      </c>
      <c r="H17" s="13" t="s">
        <v>19</v>
      </c>
      <c r="I17" s="14">
        <v>1115</v>
      </c>
      <c r="J17" s="15">
        <v>11150</v>
      </c>
      <c r="K17" s="16">
        <v>0</v>
      </c>
      <c r="L17" s="16">
        <v>0</v>
      </c>
      <c r="M17" s="16">
        <v>0</v>
      </c>
      <c r="N17" s="16"/>
      <c r="O17" s="16">
        <v>11150</v>
      </c>
      <c r="P17" s="15">
        <v>11150</v>
      </c>
    </row>
    <row r="18" spans="1:16" ht="15.5" x14ac:dyDescent="0.35">
      <c r="A18" s="21" t="s">
        <v>16</v>
      </c>
      <c r="B18" s="5" t="s">
        <v>23</v>
      </c>
      <c r="C18" s="5">
        <v>39</v>
      </c>
      <c r="D18" s="6">
        <v>43991</v>
      </c>
      <c r="E18" s="17">
        <v>0.28000000000000003</v>
      </c>
      <c r="F18" s="5" t="s">
        <v>18</v>
      </c>
      <c r="G18" s="18">
        <v>20</v>
      </c>
      <c r="H18" s="7" t="s">
        <v>19</v>
      </c>
      <c r="I18" s="8">
        <v>1115</v>
      </c>
      <c r="J18" s="9">
        <v>22300</v>
      </c>
      <c r="K18" s="10">
        <v>0</v>
      </c>
      <c r="L18" s="10">
        <v>3122.0000000000005</v>
      </c>
      <c r="M18" s="10">
        <v>3122.0000000000005</v>
      </c>
      <c r="N18" s="10"/>
      <c r="O18" s="10">
        <v>28544</v>
      </c>
      <c r="P18" s="9">
        <v>28544</v>
      </c>
    </row>
    <row r="19" spans="1:16" ht="15.5" x14ac:dyDescent="0.35">
      <c r="A19" s="22" t="s">
        <v>22</v>
      </c>
      <c r="B19" s="11" t="s">
        <v>23</v>
      </c>
      <c r="C19" s="11">
        <v>40</v>
      </c>
      <c r="D19" s="12">
        <v>44021</v>
      </c>
      <c r="E19" s="19">
        <v>0.12</v>
      </c>
      <c r="F19" s="11" t="s">
        <v>20</v>
      </c>
      <c r="G19" s="20">
        <v>30</v>
      </c>
      <c r="H19" s="13" t="s">
        <v>19</v>
      </c>
      <c r="I19" s="14">
        <v>1115</v>
      </c>
      <c r="J19" s="15">
        <v>33450</v>
      </c>
      <c r="K19" s="16">
        <v>0</v>
      </c>
      <c r="L19" s="16">
        <v>2007</v>
      </c>
      <c r="M19" s="16">
        <v>2007</v>
      </c>
      <c r="N19" s="16"/>
      <c r="O19" s="16">
        <v>37464</v>
      </c>
      <c r="P19" s="15">
        <v>37464</v>
      </c>
    </row>
    <row r="20" spans="1:16" ht="15.5" x14ac:dyDescent="0.35">
      <c r="A20" s="21" t="s">
        <v>22</v>
      </c>
      <c r="B20" s="5" t="s">
        <v>21</v>
      </c>
      <c r="C20" s="5">
        <v>41</v>
      </c>
      <c r="D20" s="6">
        <v>43961</v>
      </c>
      <c r="E20" s="17">
        <v>0.03</v>
      </c>
      <c r="F20" s="5" t="s">
        <v>18</v>
      </c>
      <c r="G20" s="18">
        <v>45</v>
      </c>
      <c r="H20" s="7" t="s">
        <v>19</v>
      </c>
      <c r="I20" s="8">
        <v>1115</v>
      </c>
      <c r="J20" s="9">
        <v>50175</v>
      </c>
      <c r="K20" s="10">
        <v>1505.25</v>
      </c>
      <c r="L20" s="10">
        <v>0</v>
      </c>
      <c r="M20" s="10">
        <v>0</v>
      </c>
      <c r="N20" s="10"/>
      <c r="O20" s="10">
        <v>51680.25</v>
      </c>
      <c r="P20" s="9">
        <v>51680.25</v>
      </c>
    </row>
    <row r="21" spans="1:16" ht="15.5" x14ac:dyDescent="0.35">
      <c r="A21" s="22" t="s">
        <v>22</v>
      </c>
      <c r="B21" s="11" t="s">
        <v>23</v>
      </c>
      <c r="C21" s="11">
        <v>42</v>
      </c>
      <c r="D21" s="12">
        <v>43992</v>
      </c>
      <c r="E21" s="19">
        <v>0.05</v>
      </c>
      <c r="F21" s="11" t="s">
        <v>20</v>
      </c>
      <c r="G21" s="20">
        <v>62</v>
      </c>
      <c r="H21" s="13" t="s">
        <v>19</v>
      </c>
      <c r="I21" s="14">
        <v>1115</v>
      </c>
      <c r="J21" s="15">
        <v>69130</v>
      </c>
      <c r="K21" s="16">
        <v>0</v>
      </c>
      <c r="L21" s="16">
        <v>1728.25</v>
      </c>
      <c r="M21" s="16">
        <v>1728.25</v>
      </c>
      <c r="N21" s="16"/>
      <c r="O21" s="16">
        <v>72586.5</v>
      </c>
      <c r="P21" s="15">
        <v>72586.5</v>
      </c>
    </row>
    <row r="22" spans="1:16" ht="15.5" x14ac:dyDescent="0.35">
      <c r="A22" s="21" t="s">
        <v>22</v>
      </c>
      <c r="B22" s="5" t="s">
        <v>23</v>
      </c>
      <c r="C22" s="5">
        <v>43</v>
      </c>
      <c r="D22" s="6">
        <v>44022</v>
      </c>
      <c r="E22" s="17">
        <v>0</v>
      </c>
      <c r="F22" s="5" t="s">
        <v>18</v>
      </c>
      <c r="G22" s="18">
        <v>12</v>
      </c>
      <c r="H22" s="7" t="s">
        <v>19</v>
      </c>
      <c r="I22" s="8">
        <v>1115</v>
      </c>
      <c r="J22" s="9">
        <v>13380</v>
      </c>
      <c r="K22" s="10">
        <v>0</v>
      </c>
      <c r="L22" s="10">
        <v>0</v>
      </c>
      <c r="M22" s="10">
        <v>0</v>
      </c>
      <c r="N22" s="10"/>
      <c r="O22" s="10">
        <v>13380</v>
      </c>
      <c r="P22" s="9">
        <v>13380</v>
      </c>
    </row>
    <row r="23" spans="1:16" ht="15.5" x14ac:dyDescent="0.35">
      <c r="A23" s="22" t="s">
        <v>22</v>
      </c>
      <c r="B23" s="11" t="s">
        <v>23</v>
      </c>
      <c r="C23" s="11">
        <v>44</v>
      </c>
      <c r="D23" s="12">
        <v>43962</v>
      </c>
      <c r="E23" s="19">
        <v>0</v>
      </c>
      <c r="F23" s="11" t="s">
        <v>20</v>
      </c>
      <c r="G23" s="20">
        <v>25</v>
      </c>
      <c r="H23" s="13" t="s">
        <v>19</v>
      </c>
      <c r="I23" s="14">
        <v>1115</v>
      </c>
      <c r="J23" s="15">
        <v>27875</v>
      </c>
      <c r="K23" s="16">
        <v>0</v>
      </c>
      <c r="L23" s="16">
        <v>0</v>
      </c>
      <c r="M23" s="16">
        <v>0</v>
      </c>
      <c r="N23" s="16"/>
      <c r="O23" s="16">
        <v>27875</v>
      </c>
      <c r="P23" s="15">
        <v>27875</v>
      </c>
    </row>
    <row r="24" spans="1:16" ht="15.5" x14ac:dyDescent="0.35">
      <c r="A24" s="21" t="s">
        <v>22</v>
      </c>
      <c r="B24" s="5" t="s">
        <v>23</v>
      </c>
      <c r="C24" s="5">
        <v>45</v>
      </c>
      <c r="D24" s="6">
        <v>43993</v>
      </c>
      <c r="E24" s="17">
        <v>0.12</v>
      </c>
      <c r="F24" s="5" t="s">
        <v>18</v>
      </c>
      <c r="G24" s="18">
        <v>45</v>
      </c>
      <c r="H24" s="7" t="s">
        <v>19</v>
      </c>
      <c r="I24" s="8">
        <v>1115</v>
      </c>
      <c r="J24" s="9">
        <v>50175</v>
      </c>
      <c r="K24" s="10">
        <v>0</v>
      </c>
      <c r="L24" s="10">
        <v>3010.5</v>
      </c>
      <c r="M24" s="10">
        <v>3010.5</v>
      </c>
      <c r="N24" s="10"/>
      <c r="O24" s="10">
        <v>56196</v>
      </c>
      <c r="P24" s="9">
        <v>56196</v>
      </c>
    </row>
    <row r="25" spans="1:16" ht="15.5" x14ac:dyDescent="0.35">
      <c r="A25" s="22" t="s">
        <v>22</v>
      </c>
      <c r="B25" s="11" t="s">
        <v>23</v>
      </c>
      <c r="C25" s="11">
        <v>46</v>
      </c>
      <c r="D25" s="12">
        <v>44023</v>
      </c>
      <c r="E25" s="19">
        <v>0.12</v>
      </c>
      <c r="F25" s="11" t="s">
        <v>20</v>
      </c>
      <c r="G25" s="20">
        <v>20</v>
      </c>
      <c r="H25" s="13" t="s">
        <v>19</v>
      </c>
      <c r="I25" s="14">
        <v>1115</v>
      </c>
      <c r="J25" s="15">
        <v>22300</v>
      </c>
      <c r="K25" s="16">
        <v>0</v>
      </c>
      <c r="L25" s="16">
        <v>1338</v>
      </c>
      <c r="M25" s="16">
        <v>1338</v>
      </c>
      <c r="N25" s="16"/>
      <c r="O25" s="16">
        <v>24976</v>
      </c>
      <c r="P25" s="15">
        <v>24976</v>
      </c>
    </row>
    <row r="26" spans="1:16" ht="15.5" x14ac:dyDescent="0.35">
      <c r="A26" s="21" t="s">
        <v>22</v>
      </c>
      <c r="B26" s="5" t="s">
        <v>23</v>
      </c>
      <c r="C26" s="5">
        <v>47</v>
      </c>
      <c r="D26" s="6">
        <v>43963</v>
      </c>
      <c r="E26" s="17">
        <v>0.03</v>
      </c>
      <c r="F26" s="5" t="s">
        <v>18</v>
      </c>
      <c r="G26" s="18">
        <v>10</v>
      </c>
      <c r="H26" s="7" t="s">
        <v>19</v>
      </c>
      <c r="I26" s="8">
        <v>1115</v>
      </c>
      <c r="J26" s="9">
        <v>11150</v>
      </c>
      <c r="K26" s="10">
        <v>0</v>
      </c>
      <c r="L26" s="10">
        <v>167.25</v>
      </c>
      <c r="M26" s="10">
        <v>167.25</v>
      </c>
      <c r="N26" s="10"/>
      <c r="O26" s="10">
        <v>11484.5</v>
      </c>
      <c r="P26" s="9">
        <v>11484.5</v>
      </c>
    </row>
    <row r="27" spans="1:16" ht="15.5" x14ac:dyDescent="0.35">
      <c r="A27" s="22" t="s">
        <v>16</v>
      </c>
      <c r="B27" s="11" t="s">
        <v>23</v>
      </c>
      <c r="C27" s="11">
        <v>48</v>
      </c>
      <c r="D27" s="12">
        <v>43994</v>
      </c>
      <c r="E27" s="19">
        <v>0.28000000000000003</v>
      </c>
      <c r="F27" s="11" t="s">
        <v>20</v>
      </c>
      <c r="G27" s="20">
        <v>35</v>
      </c>
      <c r="H27" s="13" t="s">
        <v>19</v>
      </c>
      <c r="I27" s="14">
        <v>1115</v>
      </c>
      <c r="J27" s="15">
        <v>39025</v>
      </c>
      <c r="K27" s="16">
        <v>0</v>
      </c>
      <c r="L27" s="16">
        <v>5463.5000000000009</v>
      </c>
      <c r="M27" s="16">
        <v>5463.5000000000009</v>
      </c>
      <c r="N27" s="16"/>
      <c r="O27" s="16">
        <v>49952</v>
      </c>
      <c r="P27" s="15">
        <v>49952</v>
      </c>
    </row>
    <row r="28" spans="1:16" ht="15.5" x14ac:dyDescent="0.35">
      <c r="A28" s="21" t="s">
        <v>16</v>
      </c>
      <c r="B28" s="5" t="s">
        <v>23</v>
      </c>
      <c r="C28" s="5">
        <v>49</v>
      </c>
      <c r="D28" s="6">
        <v>44024</v>
      </c>
      <c r="E28" s="17">
        <v>0.12</v>
      </c>
      <c r="F28" s="5" t="s">
        <v>18</v>
      </c>
      <c r="G28" s="18">
        <v>15</v>
      </c>
      <c r="H28" s="7" t="s">
        <v>19</v>
      </c>
      <c r="I28" s="8">
        <v>1115</v>
      </c>
      <c r="J28" s="9">
        <v>16725</v>
      </c>
      <c r="K28" s="10">
        <v>0</v>
      </c>
      <c r="L28" s="10">
        <v>1003.5</v>
      </c>
      <c r="M28" s="10">
        <v>1003.5</v>
      </c>
      <c r="N28" s="10"/>
      <c r="O28" s="10">
        <v>18732</v>
      </c>
      <c r="P28" s="9">
        <v>18732</v>
      </c>
    </row>
    <row r="29" spans="1:16" ht="15.5" x14ac:dyDescent="0.35">
      <c r="A29" s="22" t="s">
        <v>16</v>
      </c>
      <c r="B29" s="11" t="s">
        <v>23</v>
      </c>
      <c r="C29" s="11">
        <v>50</v>
      </c>
      <c r="D29" s="12">
        <v>44317</v>
      </c>
      <c r="E29" s="19">
        <v>0.03</v>
      </c>
      <c r="F29" s="11" t="s">
        <v>20</v>
      </c>
      <c r="G29" s="20">
        <v>25</v>
      </c>
      <c r="H29" s="13" t="s">
        <v>19</v>
      </c>
      <c r="I29" s="14">
        <v>1115</v>
      </c>
      <c r="J29" s="15">
        <v>27875</v>
      </c>
      <c r="K29" s="16">
        <v>0</v>
      </c>
      <c r="L29" s="16">
        <v>418.125</v>
      </c>
      <c r="M29" s="16">
        <v>418.125</v>
      </c>
      <c r="N29" s="16"/>
      <c r="O29" s="16">
        <v>28711.25</v>
      </c>
      <c r="P29" s="15">
        <v>28711.25</v>
      </c>
    </row>
    <row r="30" spans="1:16" ht="15.5" x14ac:dyDescent="0.35">
      <c r="A30" s="21" t="s">
        <v>16</v>
      </c>
      <c r="B30" s="5" t="s">
        <v>23</v>
      </c>
      <c r="C30" s="5">
        <v>51</v>
      </c>
      <c r="D30" s="6">
        <v>44348</v>
      </c>
      <c r="E30" s="17">
        <v>0.28000000000000003</v>
      </c>
      <c r="F30" s="5" t="s">
        <v>18</v>
      </c>
      <c r="G30" s="18">
        <v>10</v>
      </c>
      <c r="H30" s="7" t="s">
        <v>19</v>
      </c>
      <c r="I30" s="8">
        <v>1115</v>
      </c>
      <c r="J30" s="9">
        <v>11150</v>
      </c>
      <c r="K30" s="10">
        <v>0</v>
      </c>
      <c r="L30" s="10">
        <v>1561.0000000000002</v>
      </c>
      <c r="M30" s="10">
        <v>1561.0000000000002</v>
      </c>
      <c r="N30" s="10"/>
      <c r="O30" s="10">
        <v>14272</v>
      </c>
      <c r="P30" s="9">
        <v>14272</v>
      </c>
    </row>
    <row r="31" spans="1:16" ht="15.5" x14ac:dyDescent="0.35">
      <c r="A31" s="22" t="s">
        <v>16</v>
      </c>
      <c r="B31" s="11" t="s">
        <v>23</v>
      </c>
      <c r="C31" s="11">
        <v>52</v>
      </c>
      <c r="D31" s="12">
        <v>44378</v>
      </c>
      <c r="E31" s="19">
        <v>0.05</v>
      </c>
      <c r="F31" s="11" t="s">
        <v>20</v>
      </c>
      <c r="G31" s="20">
        <v>5</v>
      </c>
      <c r="H31" s="13" t="s">
        <v>19</v>
      </c>
      <c r="I31" s="14">
        <v>1115</v>
      </c>
      <c r="J31" s="15">
        <v>5575</v>
      </c>
      <c r="K31" s="16">
        <v>0</v>
      </c>
      <c r="L31" s="16">
        <v>139.375</v>
      </c>
      <c r="M31" s="16">
        <v>139.375</v>
      </c>
      <c r="N31" s="16"/>
      <c r="O31" s="16">
        <v>5853.75</v>
      </c>
      <c r="P31" s="15">
        <v>5853.75</v>
      </c>
    </row>
    <row r="32" spans="1:16" ht="15.5" x14ac:dyDescent="0.35">
      <c r="A32" s="21" t="s">
        <v>22</v>
      </c>
      <c r="B32" s="5" t="s">
        <v>23</v>
      </c>
      <c r="C32" s="5">
        <v>53</v>
      </c>
      <c r="D32" s="6">
        <v>44318</v>
      </c>
      <c r="E32" s="17">
        <v>0.03</v>
      </c>
      <c r="F32" s="5" t="s">
        <v>18</v>
      </c>
      <c r="G32" s="18">
        <v>8</v>
      </c>
      <c r="H32" s="7" t="s">
        <v>19</v>
      </c>
      <c r="I32" s="8">
        <v>1115</v>
      </c>
      <c r="J32" s="9">
        <v>8920</v>
      </c>
      <c r="K32" s="10">
        <v>0</v>
      </c>
      <c r="L32" s="10">
        <v>133.79999999999998</v>
      </c>
      <c r="M32" s="10">
        <v>133.79999999999998</v>
      </c>
      <c r="N32" s="10"/>
      <c r="O32" s="10">
        <v>9187.5999999999985</v>
      </c>
      <c r="P32" s="9">
        <v>9187.5999999999985</v>
      </c>
    </row>
    <row r="33" spans="1:16" ht="15.5" x14ac:dyDescent="0.35">
      <c r="A33" s="22" t="s">
        <v>22</v>
      </c>
      <c r="B33" s="11" t="s">
        <v>23</v>
      </c>
      <c r="C33" s="11">
        <v>54</v>
      </c>
      <c r="D33" s="12">
        <v>44349</v>
      </c>
      <c r="E33" s="19">
        <v>0.05</v>
      </c>
      <c r="F33" s="11" t="s">
        <v>20</v>
      </c>
      <c r="G33" s="20">
        <v>10</v>
      </c>
      <c r="H33" s="13" t="s">
        <v>19</v>
      </c>
      <c r="I33" s="14">
        <v>1115</v>
      </c>
      <c r="J33" s="15">
        <v>11150</v>
      </c>
      <c r="K33" s="16">
        <v>0</v>
      </c>
      <c r="L33" s="16">
        <v>278.75</v>
      </c>
      <c r="M33" s="16">
        <v>278.75</v>
      </c>
      <c r="N33" s="16"/>
      <c r="O33" s="16">
        <v>11707.5</v>
      </c>
      <c r="P33" s="15">
        <v>11707.5</v>
      </c>
    </row>
    <row r="34" spans="1:16" ht="15.5" x14ac:dyDescent="0.35">
      <c r="A34" s="21" t="s">
        <v>22</v>
      </c>
      <c r="B34" s="5" t="s">
        <v>23</v>
      </c>
      <c r="C34" s="5">
        <v>55</v>
      </c>
      <c r="D34" s="6">
        <v>44379</v>
      </c>
      <c r="E34" s="17">
        <v>0.05</v>
      </c>
      <c r="F34" s="5" t="s">
        <v>18</v>
      </c>
      <c r="G34" s="18">
        <v>2</v>
      </c>
      <c r="H34" s="7" t="s">
        <v>19</v>
      </c>
      <c r="I34" s="8">
        <v>1115</v>
      </c>
      <c r="J34" s="9">
        <v>2230</v>
      </c>
      <c r="K34" s="10">
        <v>0</v>
      </c>
      <c r="L34" s="10">
        <v>55.75</v>
      </c>
      <c r="M34" s="10">
        <v>55.75</v>
      </c>
      <c r="N34" s="10"/>
      <c r="O34" s="10">
        <v>2341.5</v>
      </c>
      <c r="P34" s="9">
        <v>2341.5</v>
      </c>
    </row>
    <row r="35" spans="1:16" ht="15.5" x14ac:dyDescent="0.35">
      <c r="A35" s="22" t="s">
        <v>22</v>
      </c>
      <c r="B35" s="11" t="s">
        <v>23</v>
      </c>
      <c r="C35" s="11">
        <v>56</v>
      </c>
      <c r="D35" s="12">
        <v>44319</v>
      </c>
      <c r="E35" s="19">
        <v>0.28000000000000003</v>
      </c>
      <c r="F35" s="11" t="s">
        <v>20</v>
      </c>
      <c r="G35" s="20">
        <v>4</v>
      </c>
      <c r="H35" s="13" t="s">
        <v>19</v>
      </c>
      <c r="I35" s="14">
        <v>1115</v>
      </c>
      <c r="J35" s="15">
        <v>4460</v>
      </c>
      <c r="K35" s="16">
        <v>0</v>
      </c>
      <c r="L35" s="16">
        <v>624.40000000000009</v>
      </c>
      <c r="M35" s="16">
        <v>624.40000000000009</v>
      </c>
      <c r="N35" s="16"/>
      <c r="O35" s="16">
        <v>5708.7999999999993</v>
      </c>
      <c r="P35" s="15">
        <v>5708.7999999999993</v>
      </c>
    </row>
    <row r="36" spans="1:16" ht="15.5" x14ac:dyDescent="0.35">
      <c r="A36" s="21" t="s">
        <v>16</v>
      </c>
      <c r="B36" s="5" t="s">
        <v>23</v>
      </c>
      <c r="C36" s="5">
        <v>57</v>
      </c>
      <c r="D36" s="6">
        <v>44350</v>
      </c>
      <c r="E36" s="17">
        <v>1E-3</v>
      </c>
      <c r="F36" s="5" t="s">
        <v>18</v>
      </c>
      <c r="G36" s="18">
        <v>6</v>
      </c>
      <c r="H36" s="7" t="s">
        <v>19</v>
      </c>
      <c r="I36" s="8">
        <v>1115</v>
      </c>
      <c r="J36" s="9">
        <v>6690</v>
      </c>
      <c r="K36" s="10">
        <v>0</v>
      </c>
      <c r="L36" s="10">
        <v>3.3450000000000002</v>
      </c>
      <c r="M36" s="10">
        <v>3.3450000000000002</v>
      </c>
      <c r="N36" s="10"/>
      <c r="O36" s="10">
        <v>6696.6900000000005</v>
      </c>
      <c r="P36" s="9">
        <v>6696.6900000000005</v>
      </c>
    </row>
    <row r="37" spans="1:16" ht="15.5" x14ac:dyDescent="0.35">
      <c r="A37" s="22" t="s">
        <v>16</v>
      </c>
      <c r="B37" s="11" t="s">
        <v>23</v>
      </c>
      <c r="C37" s="11">
        <v>58</v>
      </c>
      <c r="D37" s="12">
        <v>44380</v>
      </c>
      <c r="E37" s="19">
        <v>0</v>
      </c>
      <c r="F37" s="11" t="s">
        <v>20</v>
      </c>
      <c r="G37" s="20">
        <v>5</v>
      </c>
      <c r="H37" s="13" t="s">
        <v>19</v>
      </c>
      <c r="I37" s="14">
        <v>1115</v>
      </c>
      <c r="J37" s="15">
        <v>5575</v>
      </c>
      <c r="K37" s="16">
        <v>0</v>
      </c>
      <c r="L37" s="16">
        <v>0</v>
      </c>
      <c r="M37" s="16">
        <v>0</v>
      </c>
      <c r="N37" s="16"/>
      <c r="O37" s="16">
        <v>5575</v>
      </c>
      <c r="P37" s="15">
        <v>5575</v>
      </c>
    </row>
  </sheetData>
  <conditionalFormatting sqref="A10:A13 A19:A26 A32:A35">
    <cfRule type="expression" dxfId="397" priority="9">
      <formula>IF(ISBLANK(#REF!), 0, SEARCH(#REF!,$A10&amp;#REF!&amp;$B4&amp;$C4&amp;#REF!&amp;$J4))</formula>
    </cfRule>
  </conditionalFormatting>
  <conditionalFormatting sqref="A12:A13">
    <cfRule type="expression" dxfId="396" priority="6">
      <formula>IF(ISBLANK(#REF!), 0, SEARCH(#REF!,$A12&amp;#REF!&amp;$B6&amp;$C6&amp;#REF!&amp;$E6))</formula>
    </cfRule>
  </conditionalFormatting>
  <conditionalFormatting sqref="A21:A22 A25:A26 A34:A35">
    <cfRule type="expression" dxfId="395" priority="13">
      <formula>IF(ISBLANK(#REF!), 0, SEARCH(#REF!,$A21&amp;#REF!&amp;$B15&amp;$C15&amp;#REF!&amp;$E15))</formula>
    </cfRule>
  </conditionalFormatting>
  <conditionalFormatting sqref="B14:B37 E16:E37 G16:G37 J16:J37">
    <cfRule type="expression" dxfId="394" priority="2">
      <formula>IF(ISBLANK(#REF!), 0, SEARCH(#REF!,$A14&amp;#REF!&amp;$B14&amp;$D14&amp;#REF!&amp;$J14))</formula>
    </cfRule>
  </conditionalFormatting>
  <conditionalFormatting sqref="B16:B37 E16:E37 G16:G37 J16:J37">
    <cfRule type="expression" dxfId="393" priority="1">
      <formula>IF(ISBLANK(#REF!), 0, SEARCH(#REF!,$A16&amp;#REF!&amp;$B16&amp;$D16&amp;#REF!&amp;$E16))</formula>
    </cfRule>
  </conditionalFormatting>
  <conditionalFormatting sqref="C2:C3 E2:J3 A4:A9 B4:C13 F4:F37 H4:I37 C14:C37">
    <cfRule type="expression" dxfId="392" priority="5">
      <formula>IF(ISBLANK(#REF!), 0, SEARCH(#REF!,$A2&amp;#REF!&amp;$B2&amp;$C2&amp;#REF!&amp;$J2))</formula>
    </cfRule>
  </conditionalFormatting>
  <conditionalFormatting sqref="D2:D37 A16:A18 A29:A31 A37">
    <cfRule type="expression" dxfId="391" priority="12">
      <formula>IF(ISBLANK(#REF!), 0, SEARCH(#REF!,$A2&amp;#REF!&amp;$B2&amp;$C2&amp;#REF!&amp;$J2))</formula>
    </cfRule>
  </conditionalFormatting>
  <conditionalFormatting sqref="E4:E9 G4:G9 J4:J9">
    <cfRule type="expression" dxfId="390" priority="10">
      <formula>IF(ISBLANK(#REF!), 0, SEARCH(#REF!,$A10&amp;#REF!&amp;$B4&amp;$C4&amp;#REF!&amp;$J4))</formula>
    </cfRule>
  </conditionalFormatting>
  <conditionalFormatting sqref="E6:E9 G6:G9 J6:J9">
    <cfRule type="expression" dxfId="389" priority="7">
      <formula>IF(ISBLANK(#REF!), 0, SEARCH(#REF!,$A12&amp;#REF!&amp;$B6&amp;$C6&amp;#REF!&amp;$E6))</formula>
    </cfRule>
  </conditionalFormatting>
  <conditionalFormatting sqref="E10:E13 G10:G13 J10:J13">
    <cfRule type="expression" dxfId="388" priority="8">
      <formula>IF(ISBLANK(#REF!), 0, SEARCH(#REF!,#REF!&amp;#REF!&amp;$B10&amp;$C10&amp;#REF!&amp;$E10))</formula>
    </cfRule>
    <cfRule type="expression" dxfId="387" priority="11">
      <formula>IF(ISBLANK(#REF!), 0, SEARCH(#REF!,#REF!&amp;#REF!&amp;$B10&amp;$C10&amp;#REF!&amp;$J10))</formula>
    </cfRule>
  </conditionalFormatting>
  <conditionalFormatting sqref="E14:E15 G14:G15 J14:J15">
    <cfRule type="expression" dxfId="386" priority="3">
      <formula>IF(ISBLANK(#REF!), 0, SEARCH(#REF!,#REF!&amp;#REF!&amp;$B14&amp;$D14&amp;#REF!&amp;$E14))</formula>
    </cfRule>
    <cfRule type="expression" dxfId="385" priority="4">
      <formula>IF(ISBLANK(#REF!), 0, SEARCH(#REF!,#REF!&amp;#REF!&amp;$B14&amp;$D14&amp;#REF!&amp;$J14))</formula>
    </cfRule>
  </conditionalFormatting>
  <dataValidations count="4">
    <dataValidation operator="equal" allowBlank="1" showInputMessage="1" showErrorMessage="1" sqref="A2:A37" xr:uid="{00000000-0002-0000-0600-000000000000}"/>
    <dataValidation type="list" allowBlank="1" showInputMessage="1" showErrorMessage="1" sqref="B2:B37" xr:uid="{00000000-0002-0000-0600-000001000000}">
      <formula1>"LOCAL,INTERSTATE"</formula1>
    </dataValidation>
    <dataValidation type="list" allowBlank="1" showInputMessage="1" showErrorMessage="1" sqref="E2:E37" xr:uid="{00000000-0002-0000-0600-000002000000}">
      <formula1>$S$2:$S$8</formula1>
    </dataValidation>
    <dataValidation type="list" allowBlank="1" showInputMessage="1" showErrorMessage="1" sqref="H2:H37" xr:uid="{00000000-0002-0000-0600-000003000000}">
      <formula1>"PCS,NOS,KG,DOZ"</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34724-3A4B-4B15-82B1-BDF6D42C3815}">
  <dimension ref="F2:G12"/>
  <sheetViews>
    <sheetView workbookViewId="0">
      <selection activeCell="K10" sqref="K10"/>
    </sheetView>
  </sheetViews>
  <sheetFormatPr defaultRowHeight="14.5" x14ac:dyDescent="0.35"/>
  <cols>
    <col min="2" max="2" width="12.7265625" bestFit="1" customWidth="1"/>
    <col min="4" max="4" width="9.6328125" customWidth="1"/>
    <col min="6" max="6" width="13.1796875" bestFit="1" customWidth="1"/>
    <col min="7" max="7" width="17.90625" customWidth="1"/>
  </cols>
  <sheetData>
    <row r="2" spans="6:7" ht="15.5" x14ac:dyDescent="0.35">
      <c r="F2" s="46" t="s">
        <v>53</v>
      </c>
      <c r="G2" s="46"/>
    </row>
    <row r="3" spans="6:7" ht="15" thickBot="1" x14ac:dyDescent="0.4"/>
    <row r="4" spans="6:7" x14ac:dyDescent="0.35">
      <c r="F4" s="36" t="s">
        <v>48</v>
      </c>
      <c r="G4" s="37">
        <f>SUM(sales_data[INVOICE VALUE])</f>
        <v>869963.86</v>
      </c>
    </row>
    <row r="5" spans="6:7" x14ac:dyDescent="0.35">
      <c r="F5" s="34"/>
      <c r="G5" s="35"/>
    </row>
    <row r="6" spans="6:7" x14ac:dyDescent="0.35">
      <c r="F6" s="38" t="s">
        <v>49</v>
      </c>
      <c r="G6" s="41">
        <f>SUM(sales_data[IGST],sales_data[CGST],sales_data[SGST])</f>
        <v>79473.86</v>
      </c>
    </row>
    <row r="7" spans="6:7" x14ac:dyDescent="0.35">
      <c r="F7" s="34"/>
      <c r="G7" s="35"/>
    </row>
    <row r="8" spans="6:7" x14ac:dyDescent="0.35">
      <c r="F8" s="38" t="s">
        <v>50</v>
      </c>
      <c r="G8" s="39">
        <f>SUM(sales_data[Qty])</f>
        <v>700</v>
      </c>
    </row>
    <row r="9" spans="6:7" x14ac:dyDescent="0.35">
      <c r="F9" s="34"/>
      <c r="G9" s="35"/>
    </row>
    <row r="10" spans="6:7" x14ac:dyDescent="0.35">
      <c r="F10" s="38" t="s">
        <v>51</v>
      </c>
      <c r="G10" s="40">
        <f>SUM(sales_data[Tax Rate])</f>
        <v>3.3039999999999989</v>
      </c>
    </row>
    <row r="11" spans="6:7" x14ac:dyDescent="0.35">
      <c r="F11" s="34"/>
      <c r="G11" s="35"/>
    </row>
    <row r="12" spans="6:7" ht="15" thickBot="1" x14ac:dyDescent="0.4">
      <c r="F12" s="42" t="s">
        <v>52</v>
      </c>
      <c r="G12" s="43">
        <f>COUNTA(_xlfn.UNIQUE(sales_data[Invoice No.]))</f>
        <v>36</v>
      </c>
    </row>
  </sheetData>
  <mergeCells count="1">
    <mergeCell ref="F2:G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380E6-F786-47C1-9DF8-001E11E9E4DD}">
  <dimension ref="B2:L24"/>
  <sheetViews>
    <sheetView zoomScale="87" workbookViewId="0">
      <selection activeCell="K12" sqref="K12"/>
    </sheetView>
  </sheetViews>
  <sheetFormatPr defaultRowHeight="14.5" x14ac:dyDescent="0.35"/>
  <cols>
    <col min="2" max="2" width="11.54296875" bestFit="1" customWidth="1"/>
    <col min="3" max="3" width="10.81640625" bestFit="1" customWidth="1"/>
    <col min="4" max="4" width="8.81640625" bestFit="1" customWidth="1"/>
    <col min="5" max="5" width="11.54296875" bestFit="1" customWidth="1"/>
    <col min="6" max="6" width="10.7265625" bestFit="1" customWidth="1"/>
    <col min="7" max="7" width="10.81640625" bestFit="1" customWidth="1"/>
    <col min="8" max="8" width="12.6328125" bestFit="1" customWidth="1"/>
    <col min="9" max="9" width="11.6328125" bestFit="1" customWidth="1"/>
    <col min="10" max="10" width="12.453125" bestFit="1" customWidth="1"/>
    <col min="11" max="12" width="10.81640625" bestFit="1" customWidth="1"/>
    <col min="14" max="14" width="10.81640625" bestFit="1" customWidth="1"/>
  </cols>
  <sheetData>
    <row r="2" spans="2:12" x14ac:dyDescent="0.35">
      <c r="B2" s="29"/>
      <c r="C2" s="29"/>
      <c r="D2" s="29"/>
      <c r="E2" s="29"/>
      <c r="F2" s="29"/>
      <c r="G2" s="29"/>
    </row>
    <row r="3" spans="2:12" x14ac:dyDescent="0.35">
      <c r="B3" s="47" t="s">
        <v>35</v>
      </c>
      <c r="C3" s="47"/>
      <c r="D3" s="29"/>
      <c r="E3" s="47" t="s">
        <v>36</v>
      </c>
      <c r="F3" s="47"/>
      <c r="H3" s="47" t="s">
        <v>37</v>
      </c>
      <c r="I3" s="47"/>
      <c r="K3" s="47" t="s">
        <v>44</v>
      </c>
      <c r="L3" s="47"/>
    </row>
    <row r="4" spans="2:12" x14ac:dyDescent="0.35">
      <c r="B4" s="52" t="s">
        <v>42</v>
      </c>
      <c r="C4" s="50" t="s">
        <v>41</v>
      </c>
      <c r="D4" s="29"/>
      <c r="E4" s="44" t="s">
        <v>43</v>
      </c>
      <c r="F4" s="29" t="s">
        <v>40</v>
      </c>
      <c r="H4" s="1" t="s">
        <v>38</v>
      </c>
      <c r="I4" s="29" t="s">
        <v>39</v>
      </c>
      <c r="K4" s="1" t="s">
        <v>1</v>
      </c>
      <c r="L4" t="s">
        <v>45</v>
      </c>
    </row>
    <row r="5" spans="2:12" x14ac:dyDescent="0.35">
      <c r="B5" s="49" t="s">
        <v>16</v>
      </c>
      <c r="C5" s="51">
        <v>410376.47000000003</v>
      </c>
      <c r="D5" s="29"/>
      <c r="E5" s="29" t="s">
        <v>27</v>
      </c>
      <c r="F5" s="30">
        <v>21004</v>
      </c>
      <c r="H5" s="2" t="s">
        <v>20</v>
      </c>
      <c r="I5" s="30">
        <v>427057.24</v>
      </c>
      <c r="K5" s="2" t="s">
        <v>21</v>
      </c>
      <c r="L5" s="27">
        <v>139553.4</v>
      </c>
    </row>
    <row r="6" spans="2:12" x14ac:dyDescent="0.35">
      <c r="B6" s="49" t="s">
        <v>22</v>
      </c>
      <c r="C6" s="51">
        <v>459587.38999999996</v>
      </c>
      <c r="D6" s="29"/>
      <c r="E6" s="29" t="s">
        <v>28</v>
      </c>
      <c r="F6" s="30">
        <v>229752.43999999997</v>
      </c>
      <c r="H6" s="2" t="s">
        <v>18</v>
      </c>
      <c r="I6" s="30">
        <v>442906.61999999994</v>
      </c>
      <c r="K6" s="2" t="s">
        <v>17</v>
      </c>
      <c r="L6" s="27">
        <v>730410.46</v>
      </c>
    </row>
    <row r="7" spans="2:12" x14ac:dyDescent="0.35">
      <c r="B7" s="49" t="s">
        <v>25</v>
      </c>
      <c r="C7" s="51">
        <v>869963.86</v>
      </c>
      <c r="D7" s="29"/>
      <c r="E7" s="29" t="s">
        <v>29</v>
      </c>
      <c r="F7" s="30">
        <v>389805.09</v>
      </c>
      <c r="H7" s="2" t="s">
        <v>25</v>
      </c>
      <c r="I7" s="30">
        <v>869963.85999999987</v>
      </c>
      <c r="K7" s="2" t="s">
        <v>25</v>
      </c>
      <c r="L7" s="27">
        <v>869963.86</v>
      </c>
    </row>
    <row r="8" spans="2:12" ht="18.5" x14ac:dyDescent="0.45">
      <c r="B8" s="32"/>
      <c r="C8" s="31"/>
      <c r="D8" s="29"/>
      <c r="E8" s="29" t="s">
        <v>30</v>
      </c>
      <c r="F8" s="30">
        <v>229402.33</v>
      </c>
      <c r="G8" s="28"/>
    </row>
    <row r="9" spans="2:12" ht="15.5" x14ac:dyDescent="0.35">
      <c r="B9" s="31"/>
      <c r="C9" s="31"/>
      <c r="D9" s="29"/>
      <c r="E9" s="29" t="s">
        <v>25</v>
      </c>
      <c r="F9" s="30">
        <v>869963.86</v>
      </c>
      <c r="I9" s="29"/>
    </row>
    <row r="10" spans="2:12" x14ac:dyDescent="0.35">
      <c r="B10" s="29"/>
      <c r="C10" s="29"/>
      <c r="D10" s="29"/>
      <c r="E10" s="29"/>
      <c r="F10" s="29"/>
      <c r="I10" s="29"/>
    </row>
    <row r="13" spans="2:12" x14ac:dyDescent="0.35">
      <c r="G13" s="47" t="s">
        <v>46</v>
      </c>
      <c r="H13" s="47"/>
    </row>
    <row r="14" spans="2:12" x14ac:dyDescent="0.35">
      <c r="F14" s="1" t="s">
        <v>47</v>
      </c>
      <c r="G14" s="29" t="s">
        <v>31</v>
      </c>
      <c r="H14" s="29" t="s">
        <v>32</v>
      </c>
      <c r="I14" s="29" t="s">
        <v>33</v>
      </c>
      <c r="J14" s="29" t="s">
        <v>26</v>
      </c>
    </row>
    <row r="15" spans="2:12" x14ac:dyDescent="0.35">
      <c r="F15" s="4">
        <v>0</v>
      </c>
      <c r="G15" s="30">
        <v>0</v>
      </c>
      <c r="H15" s="30">
        <v>0</v>
      </c>
      <c r="I15" s="30">
        <v>0</v>
      </c>
      <c r="J15" s="30">
        <v>84740</v>
      </c>
    </row>
    <row r="16" spans="2:12" x14ac:dyDescent="0.35">
      <c r="F16" s="4">
        <v>1E-3</v>
      </c>
      <c r="G16" s="30">
        <v>0</v>
      </c>
      <c r="H16" s="30">
        <v>46.83</v>
      </c>
      <c r="I16" s="30">
        <v>46.83</v>
      </c>
      <c r="J16" s="30">
        <v>93753.659999999989</v>
      </c>
    </row>
    <row r="17" spans="5:10" x14ac:dyDescent="0.35">
      <c r="F17" s="4">
        <v>0.03</v>
      </c>
      <c r="G17" s="30">
        <v>1505.25</v>
      </c>
      <c r="H17" s="30">
        <v>1087.125</v>
      </c>
      <c r="I17" s="30">
        <v>1087.125</v>
      </c>
      <c r="J17" s="30">
        <v>126329.5</v>
      </c>
    </row>
    <row r="18" spans="5:10" x14ac:dyDescent="0.35">
      <c r="F18" s="4">
        <v>0.05</v>
      </c>
      <c r="G18" s="30">
        <v>1393.75</v>
      </c>
      <c r="H18" s="30">
        <v>2871.125</v>
      </c>
      <c r="I18" s="30">
        <v>2871.125</v>
      </c>
      <c r="J18" s="30">
        <v>149856</v>
      </c>
    </row>
    <row r="19" spans="5:10" x14ac:dyDescent="0.35">
      <c r="F19" s="4">
        <v>0.12</v>
      </c>
      <c r="G19" s="30">
        <v>0</v>
      </c>
      <c r="H19" s="30">
        <v>7559.4</v>
      </c>
      <c r="I19" s="30">
        <v>7559.4</v>
      </c>
      <c r="J19" s="30">
        <v>141108.79999999999</v>
      </c>
    </row>
    <row r="20" spans="5:10" x14ac:dyDescent="0.35">
      <c r="F20" s="4">
        <v>0.18</v>
      </c>
      <c r="G20" s="30">
        <v>8429.4</v>
      </c>
      <c r="H20" s="30">
        <v>3307.95</v>
      </c>
      <c r="I20" s="30">
        <v>3307.95</v>
      </c>
      <c r="J20" s="30">
        <v>98630.3</v>
      </c>
    </row>
    <row r="21" spans="5:10" x14ac:dyDescent="0.35">
      <c r="F21" s="4">
        <v>0.28000000000000003</v>
      </c>
      <c r="G21" s="30">
        <v>0</v>
      </c>
      <c r="H21" s="30">
        <v>19200.300000000003</v>
      </c>
      <c r="I21" s="30">
        <v>19200.300000000003</v>
      </c>
      <c r="J21" s="30">
        <v>175545.59999999998</v>
      </c>
    </row>
    <row r="22" spans="5:10" x14ac:dyDescent="0.35">
      <c r="F22" s="4" t="s">
        <v>25</v>
      </c>
      <c r="G22" s="30">
        <v>11328.4</v>
      </c>
      <c r="H22" s="30">
        <v>34072.730000000003</v>
      </c>
      <c r="I22" s="30">
        <v>34072.730000000003</v>
      </c>
      <c r="J22" s="30">
        <v>869963.86</v>
      </c>
    </row>
    <row r="24" spans="5:10" x14ac:dyDescent="0.35">
      <c r="E24" s="48"/>
      <c r="F24" s="48"/>
    </row>
  </sheetData>
  <mergeCells count="6">
    <mergeCell ref="B3:C3"/>
    <mergeCell ref="E3:F3"/>
    <mergeCell ref="H3:I3"/>
    <mergeCell ref="K3:L3"/>
    <mergeCell ref="E24:F24"/>
    <mergeCell ref="G13:H13"/>
  </mergeCells>
  <pageMargins left="0.7" right="0.7" top="0.75" bottom="0.75" header="0.3" footer="0.3"/>
  <pageSetup paperSize="9" orientation="portrait"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C3BD0-59EE-400F-9AC2-D407015B7FCD}">
  <dimension ref="G2:I2"/>
  <sheetViews>
    <sheetView workbookViewId="0">
      <selection activeCell="N14" sqref="N14"/>
    </sheetView>
  </sheetViews>
  <sheetFormatPr defaultRowHeight="14.5" x14ac:dyDescent="0.35"/>
  <cols>
    <col min="9" max="9" width="10.54296875" customWidth="1"/>
  </cols>
  <sheetData>
    <row r="2" spans="7:9" ht="15.5" x14ac:dyDescent="0.35">
      <c r="G2" s="45" t="s">
        <v>54</v>
      </c>
      <c r="H2" s="45"/>
      <c r="I2" s="45"/>
    </row>
  </sheetData>
  <mergeCells count="1">
    <mergeCell ref="G2:I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D10BD-465F-448B-866F-148DB28606CD}">
  <dimension ref="F1:AP55"/>
  <sheetViews>
    <sheetView tabSelected="1" zoomScale="39" workbookViewId="0">
      <selection activeCell="E28" sqref="E28"/>
    </sheetView>
  </sheetViews>
  <sheetFormatPr defaultRowHeight="14.5" x14ac:dyDescent="0.35"/>
  <sheetData>
    <row r="1" spans="6:42" x14ac:dyDescent="0.35">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row>
    <row r="2" spans="6:42" x14ac:dyDescent="0.35">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row>
    <row r="3" spans="6:42" x14ac:dyDescent="0.35">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row>
    <row r="4" spans="6:42" x14ac:dyDescent="0.35">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row>
    <row r="5" spans="6:42" x14ac:dyDescent="0.35">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row>
    <row r="6" spans="6:42" x14ac:dyDescent="0.35">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row>
    <row r="7" spans="6:42" x14ac:dyDescent="0.35">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row>
    <row r="8" spans="6:42" x14ac:dyDescent="0.35">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row>
    <row r="9" spans="6:42" x14ac:dyDescent="0.35">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row>
    <row r="10" spans="6:42" x14ac:dyDescent="0.35">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row>
    <row r="11" spans="6:42" x14ac:dyDescent="0.35">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row>
    <row r="12" spans="6:42" x14ac:dyDescent="0.35">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row>
    <row r="13" spans="6:42" x14ac:dyDescent="0.35">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row>
    <row r="14" spans="6:42" x14ac:dyDescent="0.35">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row>
    <row r="15" spans="6:42" x14ac:dyDescent="0.35">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row>
    <row r="16" spans="6:42" x14ac:dyDescent="0.35">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row>
    <row r="17" spans="6:42" x14ac:dyDescent="0.35">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row>
    <row r="18" spans="6:42" x14ac:dyDescent="0.35">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row>
    <row r="19" spans="6:42" x14ac:dyDescent="0.35">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row>
    <row r="20" spans="6:42" x14ac:dyDescent="0.35">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row>
    <row r="21" spans="6:42" x14ac:dyDescent="0.35">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row>
    <row r="22" spans="6:42" x14ac:dyDescent="0.35">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row>
    <row r="23" spans="6:42" x14ac:dyDescent="0.35">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row>
    <row r="24" spans="6:42" x14ac:dyDescent="0.35">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row>
    <row r="25" spans="6:42" x14ac:dyDescent="0.35">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row>
    <row r="26" spans="6:42" x14ac:dyDescent="0.35">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row>
    <row r="27" spans="6:42" x14ac:dyDescent="0.35">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row>
    <row r="28" spans="6:42" x14ac:dyDescent="0.35">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row>
    <row r="29" spans="6:42" x14ac:dyDescent="0.35">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row>
    <row r="30" spans="6:42" x14ac:dyDescent="0.35">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row>
    <row r="31" spans="6:42" x14ac:dyDescent="0.35">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row>
    <row r="32" spans="6:42" x14ac:dyDescent="0.35">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row>
    <row r="33" spans="6:42" x14ac:dyDescent="0.35">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row>
    <row r="34" spans="6:42" x14ac:dyDescent="0.35">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row>
    <row r="35" spans="6:42" x14ac:dyDescent="0.35">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row>
    <row r="36" spans="6:42" x14ac:dyDescent="0.35">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row>
    <row r="37" spans="6:42" x14ac:dyDescent="0.35">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row>
    <row r="38" spans="6:42" x14ac:dyDescent="0.35">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row>
    <row r="39" spans="6:42" x14ac:dyDescent="0.35">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row>
    <row r="40" spans="6:42" x14ac:dyDescent="0.35">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row>
    <row r="41" spans="6:42" x14ac:dyDescent="0.35">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row>
    <row r="42" spans="6:42" x14ac:dyDescent="0.35">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row>
    <row r="43" spans="6:42" x14ac:dyDescent="0.35">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row>
    <row r="44" spans="6:42" x14ac:dyDescent="0.35">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row>
    <row r="45" spans="6:42" x14ac:dyDescent="0.35">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row>
    <row r="46" spans="6:42" x14ac:dyDescent="0.35">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row>
    <row r="47" spans="6:42" x14ac:dyDescent="0.35">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row>
    <row r="48" spans="6:42" x14ac:dyDescent="0.35">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row>
    <row r="49" spans="6:42" x14ac:dyDescent="0.35">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row>
    <row r="50" spans="6:42" x14ac:dyDescent="0.35">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row>
    <row r="51" spans="6:42" x14ac:dyDescent="0.35">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row>
    <row r="52" spans="6:42" x14ac:dyDescent="0.35">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row>
    <row r="53" spans="6:42" x14ac:dyDescent="0.35">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row>
    <row r="54" spans="6:42" x14ac:dyDescent="0.35">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row>
    <row r="55" spans="6:42" x14ac:dyDescent="0.35">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FIRM WISE</vt:lpstr>
      <vt:lpstr>MONTH WISE</vt:lpstr>
      <vt:lpstr>TAX WISE</vt:lpstr>
      <vt:lpstr>PRODUCT WISE</vt:lpstr>
      <vt:lpstr>RAW_DATA</vt:lpstr>
      <vt:lpstr>KPI_VALUE </vt:lpstr>
      <vt:lpstr>PIVOT_TABLE</vt:lpstr>
      <vt:lpstr>INSIGHTS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Daood</dc:creator>
  <cp:lastModifiedBy>tamanna kumari</cp:lastModifiedBy>
  <dcterms:created xsi:type="dcterms:W3CDTF">2020-04-22T22:10:47Z</dcterms:created>
  <dcterms:modified xsi:type="dcterms:W3CDTF">2026-05-08T10:58:33Z</dcterms:modified>
</cp:coreProperties>
</file>